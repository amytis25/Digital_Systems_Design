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ownloads\"/>
    </mc:Choice>
  </mc:AlternateContent>
  <xr:revisionPtr revIDLastSave="0" documentId="13_ncr:1_{504EA2C6-83EE-435E-A927-53BA93CC93F2}" xr6:coauthVersionLast="47" xr6:coauthVersionMax="47" xr10:uidLastSave="{00000000-0000-0000-0000-000000000000}"/>
  <workbookProtection workbookAlgorithmName="SHA-512" workbookHashValue="uphip+fyQmgTbQWVslgKndYGTCUT2nMCnU8pTyuiPxh9t3MkaNQeLeeV1eDZUH8uYM8JtsIZJzZApwnnbRUEcA==" workbookSaltValue="PVE5+bPUyqyV9jE5EaqSxw==" workbookSpinCount="100000" lockStructure="1"/>
  <bookViews>
    <workbookView xWindow="-108" yWindow="-108" windowWidth="23256" windowHeight="12456" activeTab="3" xr2:uid="{5C666647-60C4-4C14-A5E1-8900F85EBB7F}"/>
  </bookViews>
  <sheets>
    <sheet name="DP1.0" sheetId="5" r:id="rId1"/>
    <sheet name="DP1.1" sheetId="6" r:id="rId2"/>
    <sheet name="DP1.2" sheetId="7" r:id="rId3"/>
    <sheet name="DP2.0" sheetId="9" r:id="rId4"/>
    <sheet name="DP2.1" sheetId="10" r:id="rId5"/>
    <sheet name="FP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" i="11" l="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80" i="11" s="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80" i="10" l="1"/>
  <c r="H80" i="9"/>
  <c r="H80" i="7"/>
  <c r="H80" i="6"/>
  <c r="H80" i="5"/>
</calcChain>
</file>

<file path=xl/sharedStrings.xml><?xml version="1.0" encoding="utf-8"?>
<sst xmlns="http://schemas.openxmlformats.org/spreadsheetml/2006/main" count="114" uniqueCount="39">
  <si>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</si>
  <si>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</si>
  <si>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</si>
  <si>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</si>
  <si>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</si>
  <si>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</si>
  <si>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</si>
  <si>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</si>
  <si>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</si>
  <si>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</si>
  <si>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</si>
  <si>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</si>
  <si>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</si>
  <si>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</si>
  <si>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</si>
  <si>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</si>
  <si>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</si>
  <si>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</si>
  <si>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</si>
  <si>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</si>
  <si>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Simon Schaufele</t>
  </si>
  <si>
    <t>G12</t>
  </si>
  <si>
    <t>wrote the CondSum Adder and a first iteration of our testbench for modelsim</t>
  </si>
  <si>
    <t>Helped write baseline adder with amytis and finished FastRipple architecture</t>
  </si>
  <si>
    <t>Re-wrote CondSum architecture to reflect it's recursive nature and compiled all candidates in quartus</t>
  </si>
  <si>
    <t>debugged and Compiled first iteration of test bench on modelsim. Read documents to understand how to read vectors from a .tvs file</t>
  </si>
  <si>
    <t>helped write, debugged and compiled TB_Adder_CSA and TB_Adder_RIP to be able to take test vectors from a .tvs file</t>
  </si>
  <si>
    <t>worked on making the test vector file a lot of debugging to get the test benches to find the file and ignore lines that use comments</t>
  </si>
  <si>
    <t>worked on the report specifically the design candidate sections and the experimental procedures</t>
  </si>
  <si>
    <t>drew design candidate circuit diagrams edited design candidate paragraphs</t>
  </si>
  <si>
    <t>worked on R&amp;D summary report</t>
  </si>
  <si>
    <t>wrote cost comparison and analysis of all design candidates</t>
  </si>
  <si>
    <t>read over other sections of the report made multiple edits</t>
  </si>
  <si>
    <t>minor edits</t>
  </si>
  <si>
    <t>redid cost calculations using analygous boards for a more accurate LE to ALM conversion</t>
  </si>
  <si>
    <t>anotating images and editing</t>
  </si>
  <si>
    <t>started work. discussed potential candidates wrote some foundation vhdl and read project description</t>
  </si>
  <si>
    <t>started work on our look ahead carry generator and began writing the tree implementation</t>
  </si>
  <si>
    <t>made progress on tree architecture compiled but did not pass test cases changed some of our look ahead carry 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</si>
</sst>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2" fontId="3" fillId="0" borderId="6" xfId="0" applyNumberFormat="1" applyFont="1" applyBorder="1" applyAlignment="1">
      <alignment vertical="center"/>
    </xf>
    <xf numFmtId="2" fontId="3" fillId="0" borderId="10" xfId="0" applyNumberFormat="1" applyFont="1" applyBorder="1"/>
    <xf numFmtId="2" fontId="3" fillId="0" borderId="13" xfId="0" applyNumberFormat="1" applyFont="1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9" fontId="7" fillId="4" borderId="16" xfId="0" applyNumberFormat="1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7" fillId="4" borderId="16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40-83BD-4CBB-97D3-102021CD8368}">
  <dimension ref="A1:I783"/>
  <sheetViews>
    <sheetView zoomScale="85" zoomScaleNormal="85" workbookViewId="0">
      <selection activeCell="B4" sqref="B4:D4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 t="s">
        <v>20</v>
      </c>
      <c r="C2" s="51"/>
      <c r="D2" s="52"/>
      <c r="E2" s="44" t="s">
        <v>13</v>
      </c>
      <c r="F2" s="45"/>
      <c r="G2" s="45"/>
    </row>
    <row r="3" spans="1:9" ht="24.9" customHeight="1" x14ac:dyDescent="0.3">
      <c r="A3" s="36" t="s">
        <v>5</v>
      </c>
      <c r="B3" s="53">
        <v>301454255</v>
      </c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21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>
        <v>0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sNU3PU1sZu/XHq3y7daVxIp92iIMOUtXXVzLXIeK25US15H4gHDflCeEtaLvhtcn5lLNCpT+VIs3Qmrn6AHrxg==" saltValue="IEOaYygWcBfcrG8obapXYQ==" spinCount="100000" sheet="1" selectLockedCells="1"/>
  <mergeCells count="6">
    <mergeCell ref="A1:H1"/>
    <mergeCell ref="B5:D5"/>
    <mergeCell ref="E2:G5"/>
    <mergeCell ref="B2:D2"/>
    <mergeCell ref="B3:D3"/>
    <mergeCell ref="B4:D4"/>
  </mergeCells>
  <conditionalFormatting sqref="H7:H7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799F-2A25-43A6-9F67-3B557D40BF29}">
  <dimension ref="A1:I783"/>
  <sheetViews>
    <sheetView topLeftCell="C14" zoomScale="85" zoomScaleNormal="85" workbookViewId="0">
      <selection activeCell="G15" sqref="G15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 t="s">
        <v>20</v>
      </c>
      <c r="C2" s="51"/>
      <c r="D2" s="52"/>
      <c r="E2" s="44" t="s">
        <v>14</v>
      </c>
      <c r="F2" s="45"/>
      <c r="G2" s="45"/>
    </row>
    <row r="3" spans="1:9" ht="24.9" customHeight="1" x14ac:dyDescent="0.3">
      <c r="A3" s="36" t="s">
        <v>5</v>
      </c>
      <c r="B3" s="53">
        <v>301454255</v>
      </c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21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>
        <v>0.4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4255</v>
      </c>
      <c r="C7" s="18">
        <v>45937</v>
      </c>
      <c r="D7" s="19">
        <v>0.625</v>
      </c>
      <c r="E7" s="20">
        <v>0.68402777777777779</v>
      </c>
      <c r="F7" s="33"/>
      <c r="G7" s="15" t="s">
        <v>23</v>
      </c>
      <c r="H7" s="11">
        <f t="shared" ref="H7" si="0">(E7-D7)*24</f>
        <v>1.416666666666667</v>
      </c>
      <c r="I7" s="9"/>
    </row>
    <row r="8" spans="1:9" ht="24.9" customHeight="1" x14ac:dyDescent="0.35">
      <c r="A8" s="31"/>
      <c r="B8" s="13">
        <v>4255</v>
      </c>
      <c r="C8" s="21">
        <v>45937</v>
      </c>
      <c r="D8" s="19">
        <v>0.6875</v>
      </c>
      <c r="E8" s="22">
        <v>0.72916666666666663</v>
      </c>
      <c r="F8" s="34"/>
      <c r="G8" s="16" t="s">
        <v>22</v>
      </c>
      <c r="H8" s="26">
        <f>(E8-D8)*24</f>
        <v>0.99999999999999911</v>
      </c>
    </row>
    <row r="9" spans="1:9" ht="24.9" customHeight="1" x14ac:dyDescent="0.35">
      <c r="A9" s="31"/>
      <c r="B9" s="13">
        <v>4255</v>
      </c>
      <c r="C9" s="21">
        <v>45938</v>
      </c>
      <c r="D9" s="19">
        <v>0.6875</v>
      </c>
      <c r="E9" s="22">
        <v>0.77083333333333337</v>
      </c>
      <c r="F9" s="34"/>
      <c r="G9" s="16" t="s">
        <v>24</v>
      </c>
      <c r="H9" s="26">
        <f t="shared" ref="H9:H72" si="1">(E9-D9)*24</f>
        <v>2.0000000000000009</v>
      </c>
    </row>
    <row r="10" spans="1:9" ht="24.9" customHeight="1" x14ac:dyDescent="0.35">
      <c r="A10" s="31"/>
      <c r="B10" s="13">
        <v>4255</v>
      </c>
      <c r="C10" s="21">
        <v>45938</v>
      </c>
      <c r="D10" s="19">
        <v>0.77083333333333337</v>
      </c>
      <c r="E10" s="22">
        <v>0.8125</v>
      </c>
      <c r="F10" s="34"/>
      <c r="G10" s="16" t="s">
        <v>25</v>
      </c>
      <c r="H10" s="26">
        <f t="shared" si="1"/>
        <v>0.99999999999999911</v>
      </c>
    </row>
    <row r="11" spans="1:9" ht="24.9" customHeight="1" x14ac:dyDescent="0.35">
      <c r="A11" s="31"/>
      <c r="B11" s="13">
        <v>4255</v>
      </c>
      <c r="C11" s="21">
        <v>45940</v>
      </c>
      <c r="D11" s="19">
        <v>0.6875</v>
      </c>
      <c r="E11" s="22">
        <v>0.77083333333333337</v>
      </c>
      <c r="F11" s="34"/>
      <c r="G11" s="16" t="s">
        <v>26</v>
      </c>
      <c r="H11" s="26">
        <f t="shared" si="1"/>
        <v>2.0000000000000009</v>
      </c>
    </row>
    <row r="12" spans="1:9" ht="24.9" customHeight="1" x14ac:dyDescent="0.35">
      <c r="A12" s="31"/>
      <c r="B12" s="13">
        <v>4255</v>
      </c>
      <c r="C12" s="21">
        <v>45940</v>
      </c>
      <c r="D12" s="19">
        <v>0.77083333333333337</v>
      </c>
      <c r="E12" s="22">
        <v>0.875</v>
      </c>
      <c r="F12" s="34"/>
      <c r="G12" s="16" t="s">
        <v>27</v>
      </c>
      <c r="H12" s="26">
        <f t="shared" si="1"/>
        <v>2.4999999999999991</v>
      </c>
    </row>
    <row r="13" spans="1:9" ht="24.9" customHeight="1" x14ac:dyDescent="0.35">
      <c r="A13" s="31"/>
      <c r="B13" s="13">
        <v>4255</v>
      </c>
      <c r="C13" s="21">
        <v>45941</v>
      </c>
      <c r="D13" s="19">
        <v>0.83333333333333337</v>
      </c>
      <c r="E13" s="22">
        <v>0.89583333333333337</v>
      </c>
      <c r="F13" s="34"/>
      <c r="G13" s="16" t="s">
        <v>28</v>
      </c>
      <c r="H13" s="26">
        <f t="shared" si="1"/>
        <v>1.5</v>
      </c>
    </row>
    <row r="14" spans="1:9" ht="24.9" customHeight="1" x14ac:dyDescent="0.35">
      <c r="A14" s="31"/>
      <c r="B14" s="13">
        <v>4255</v>
      </c>
      <c r="C14" s="21">
        <v>45942</v>
      </c>
      <c r="D14" s="19">
        <v>0.5</v>
      </c>
      <c r="E14" s="22">
        <v>0.58333333333333337</v>
      </c>
      <c r="F14" s="34"/>
      <c r="G14" s="16" t="s">
        <v>29</v>
      </c>
      <c r="H14" s="26">
        <f t="shared" si="1"/>
        <v>2.0000000000000009</v>
      </c>
    </row>
    <row r="15" spans="1:9" ht="24.9" customHeight="1" x14ac:dyDescent="0.35">
      <c r="A15" s="31"/>
      <c r="B15" s="13">
        <v>4255</v>
      </c>
      <c r="C15" s="21">
        <v>45942</v>
      </c>
      <c r="D15" s="19">
        <v>0.80902777777777779</v>
      </c>
      <c r="E15" s="22"/>
      <c r="F15" s="34"/>
      <c r="G15" s="16" t="s">
        <v>30</v>
      </c>
      <c r="H15" s="26">
        <f t="shared" si="1"/>
        <v>-19.416666666666668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-6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dcXtR48WjTYpG3sepj09aT2hu2Urn2XT63cVCbH0dtmdijrN88SUEVBVQrNj3ev9M3BNz+szElQ3n3/TfEl3qQ==" saltValue="EZxqCyY7QrENN0a1ZXZyn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45-CD49-49CC-91F4-D8E7747F6F1D}">
  <dimension ref="A1:I783"/>
  <sheetViews>
    <sheetView topLeftCell="C1" zoomScale="85" zoomScaleNormal="85" workbookViewId="0">
      <selection activeCell="G11" sqref="G11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15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21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>
        <v>0.3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4255</v>
      </c>
      <c r="C7" s="18">
        <v>45948</v>
      </c>
      <c r="D7" s="19">
        <v>0.54166666666666663</v>
      </c>
      <c r="E7" s="20">
        <v>0.60416666666666663</v>
      </c>
      <c r="F7" s="33"/>
      <c r="G7" s="15" t="s">
        <v>31</v>
      </c>
      <c r="H7" s="11">
        <f t="shared" ref="H7" si="0">(E7-D7)*24</f>
        <v>1.5</v>
      </c>
      <c r="I7" s="9"/>
    </row>
    <row r="8" spans="1:9" ht="24.9" customHeight="1" x14ac:dyDescent="0.35">
      <c r="A8" s="31"/>
      <c r="B8" s="13">
        <v>4255</v>
      </c>
      <c r="C8" s="21">
        <v>45948</v>
      </c>
      <c r="D8" s="19">
        <v>0.60416666666666663</v>
      </c>
      <c r="E8" s="22">
        <v>0.64583333333333337</v>
      </c>
      <c r="F8" s="34"/>
      <c r="G8" s="16" t="s">
        <v>32</v>
      </c>
      <c r="H8" s="26">
        <f>(E8-D8)*24</f>
        <v>1.0000000000000018</v>
      </c>
    </row>
    <row r="9" spans="1:9" ht="24.9" customHeight="1" x14ac:dyDescent="0.35">
      <c r="A9" s="31"/>
      <c r="B9" s="13">
        <v>4255</v>
      </c>
      <c r="C9" s="21">
        <v>45949</v>
      </c>
      <c r="D9" s="19">
        <v>0.58333333333333337</v>
      </c>
      <c r="E9" s="22">
        <v>0.60416666666666663</v>
      </c>
      <c r="F9" s="34"/>
      <c r="G9" s="16" t="s">
        <v>33</v>
      </c>
      <c r="H9" s="26">
        <f t="shared" ref="H9:H72" si="1">(E9-D9)*24</f>
        <v>0.49999999999999822</v>
      </c>
    </row>
    <row r="10" spans="1:9" ht="24.9" customHeight="1" x14ac:dyDescent="0.35">
      <c r="A10" s="31"/>
      <c r="B10" s="13">
        <v>4255</v>
      </c>
      <c r="C10" s="21">
        <v>45955</v>
      </c>
      <c r="D10" s="19">
        <v>0.58333333333333337</v>
      </c>
      <c r="E10" s="22">
        <v>0.72916666666666663</v>
      </c>
      <c r="F10" s="34"/>
      <c r="G10" s="16" t="s">
        <v>34</v>
      </c>
      <c r="H10" s="26">
        <f t="shared" si="1"/>
        <v>3.4999999999999982</v>
      </c>
    </row>
    <row r="11" spans="1:9" ht="24.9" customHeight="1" x14ac:dyDescent="0.35">
      <c r="A11" s="31"/>
      <c r="B11" s="13">
        <v>4255</v>
      </c>
      <c r="C11" s="21">
        <v>45956</v>
      </c>
      <c r="D11" s="19">
        <v>0.58333333333333337</v>
      </c>
      <c r="E11" s="22">
        <v>0.66666666666666663</v>
      </c>
      <c r="F11" s="34"/>
      <c r="G11" s="16" t="s">
        <v>35</v>
      </c>
      <c r="H11" s="26">
        <f t="shared" si="1"/>
        <v>1.9999999999999982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8.4999999999999964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pBB1B6Jl5bWlgX5J9HIPcTLMRfUtjrC8U8UcadQhcg1K0x18mldmvWG7OFcVLeuq2aKLelfiglQUZIrMfjSMxw==" saltValue="64RiY70eYZTw84dghxzMqA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tabSelected="1" zoomScale="85" zoomScaleNormal="85" workbookViewId="0">
      <selection activeCell="B3" sqref="B3:D3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 t="s">
        <v>20</v>
      </c>
      <c r="C2" s="51"/>
      <c r="D2" s="52"/>
      <c r="E2" s="44" t="s">
        <v>16</v>
      </c>
      <c r="F2" s="45"/>
      <c r="G2" s="45"/>
    </row>
    <row r="3" spans="1:9" ht="24.9" customHeight="1" x14ac:dyDescent="0.3">
      <c r="A3" s="36" t="s">
        <v>5</v>
      </c>
      <c r="B3" s="53">
        <v>301454255</v>
      </c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+o2flSZBlVhzyZx7NAUThZ2ErdbmdurVNw8Gfx368Q0Y5n3pgNixItMcI/CCjGRC4ifVKL/bCx1j8JI6VXsVgA==" saltValue="OQslXnuivUJ6TrCtkxP52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B3" sqref="B3:D3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 t="s">
        <v>20</v>
      </c>
      <c r="C2" s="51"/>
      <c r="D2" s="52"/>
      <c r="E2" s="44" t="s">
        <v>17</v>
      </c>
      <c r="F2" s="45"/>
      <c r="G2" s="45"/>
    </row>
    <row r="3" spans="1:9" ht="24.9" customHeight="1" x14ac:dyDescent="0.3">
      <c r="A3" s="36" t="s">
        <v>5</v>
      </c>
      <c r="B3" s="53">
        <v>301454255</v>
      </c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4255</v>
      </c>
      <c r="C7" s="18">
        <v>45957</v>
      </c>
      <c r="D7" s="19">
        <v>0.625</v>
      </c>
      <c r="E7" s="20">
        <v>0.75</v>
      </c>
      <c r="F7" s="33"/>
      <c r="G7" s="15" t="s">
        <v>36</v>
      </c>
      <c r="H7" s="11">
        <f t="shared" ref="H7" si="0">(E7-D7)*24</f>
        <v>3</v>
      </c>
      <c r="I7" s="9"/>
    </row>
    <row r="8" spans="1:9" ht="24.9" customHeight="1" x14ac:dyDescent="0.35">
      <c r="A8" s="31"/>
      <c r="B8" s="13">
        <v>4255</v>
      </c>
      <c r="C8" s="21">
        <v>45958</v>
      </c>
      <c r="D8" s="19">
        <v>0.60416666666666663</v>
      </c>
      <c r="E8" s="22">
        <v>0.72916666666666663</v>
      </c>
      <c r="F8" s="34"/>
      <c r="G8" s="16" t="s">
        <v>37</v>
      </c>
      <c r="H8" s="26">
        <f>(E8-D8)*24</f>
        <v>3</v>
      </c>
    </row>
    <row r="9" spans="1:9" ht="24.9" customHeight="1" x14ac:dyDescent="0.35">
      <c r="A9" s="31"/>
      <c r="B9" s="13">
        <v>4255</v>
      </c>
      <c r="C9" s="21">
        <v>45959</v>
      </c>
      <c r="D9" s="19">
        <v>0.64583333333333337</v>
      </c>
      <c r="E9" s="22">
        <v>0.80555555555555558</v>
      </c>
      <c r="F9" s="34"/>
      <c r="G9" s="16" t="s">
        <v>38</v>
      </c>
      <c r="H9" s="26">
        <f t="shared" ref="H9:H72" si="1">(E9-D9)*24</f>
        <v>3.833333333333333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9.8333333333333321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ab+0OUaRwtdRNuNehRIG09D6m3rwaYPwlXuzD5hzmAncHxofPoYXO1kHWIaG7vQ4fjCsHBdzMWewpvo2u9PYPA==" saltValue="T2XS4o1rjox7AYmhUbWHr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E15" sqref="E15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18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LkjBDsoWsDhJGEFAOxgpq7KpgaDrmsyjOEV2s/qExOaHxbOEveB0A0qWeNdeZN/OmXc9NqPUDOsv0ZqgmlbEwQ==" saltValue="fgk9dvCYeYGi1vuh3qdVVQ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DP1.0</vt:lpstr>
      <vt:lpstr>DP1.1</vt:lpstr>
      <vt:lpstr>DP1.2</vt:lpstr>
      <vt:lpstr>DP2.0</vt:lpstr>
      <vt:lpstr>DP2.1</vt:lpstr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Simon Schaufele</cp:lastModifiedBy>
  <dcterms:created xsi:type="dcterms:W3CDTF">2020-03-26T16:58:46Z</dcterms:created>
  <dcterms:modified xsi:type="dcterms:W3CDTF">2025-11-03T01:12:21Z</dcterms:modified>
</cp:coreProperties>
</file>