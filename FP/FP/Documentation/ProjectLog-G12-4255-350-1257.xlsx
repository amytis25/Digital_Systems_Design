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8_{B5C116FC-5C48-448C-9802-CFF36A77FAB2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08" yWindow="-108" windowWidth="23256" windowHeight="12456" activeTab="5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<sst xmlns="http://schemas.openxmlformats.org/spreadsheetml/2006/main" count="124" uniqueCount="50">
  <si>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</si>
  <si>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</si>
  <si>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</si>
  <si>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</si>
  <si>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</si>
  <si>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</si>
  <si>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</si>
  <si>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</si>
  <si>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</si>
  <si>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</si>
  <si>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</si>
  <si>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</si>
  <si>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</si>
  <si>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</si>
  <si>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</si>
  <si>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</si>
  <si>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</si>
  <si>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</si>
  <si>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</si>
  <si>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</si>
  <si>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Simon Schaufele</t>
  </si>
  <si>
    <t>G12</t>
  </si>
  <si>
    <t>wrote the CondSum Adder and a first iteration of our testbench for modelsim</t>
  </si>
  <si>
    <t>Helped write baseline adder with amytis and finished FastRipple architecture</t>
  </si>
  <si>
    <t>Re-wrote CondSum architecture to reflect it's recursive nature and compiled all candidates in quartus</t>
  </si>
  <si>
    <t>debugged and Compiled first iteration of test bench on modelsim. Read documents to understand how to read vectors from a .tvs file</t>
  </si>
  <si>
    <t>helped write, debugged and compiled TB_Adder_CSA and TB_Adder_RIP to be able to take test vectors from a .tvs file</t>
  </si>
  <si>
    <t>worked on making the test vector file a lot of debugging to get the test benches to find the file and ignore lines that use comments</t>
  </si>
  <si>
    <t>worked on the report specifically the design candidate sections and the experimental procedures</t>
  </si>
  <si>
    <t>drew design candidate circuit diagrams edited design candidate paragraphs</t>
  </si>
  <si>
    <t>worked on R&amp;D summary report</t>
  </si>
  <si>
    <t>wrote cost comparison and analysis of all design candidates</t>
  </si>
  <si>
    <t>read over other sections of the report made multiple edits</t>
  </si>
  <si>
    <t>minor edits</t>
  </si>
  <si>
    <t>redid cost calculations using analygous boards for a more accurate LE to ALM conversion</t>
  </si>
  <si>
    <t>anotating images and editing</t>
  </si>
  <si>
    <t>implemented a carry look ahead tree architecture for the adder</t>
  </si>
  <si>
    <t>finished brent kung adder</t>
  </si>
  <si>
    <t>got all candidates quartus summaries and .vho and .sdo files</t>
  </si>
  <si>
    <t>wrote and debugged a 4 bit look ahead carry network component</t>
  </si>
  <si>
    <t>worked on the report specifically the the testbench section</t>
  </si>
  <si>
    <t>Figured out timing simulations</t>
  </si>
  <si>
    <t>worked on the test bench to prepare it for timing simulations</t>
  </si>
  <si>
    <t>worked on the testbench and helped write .do files</t>
  </si>
  <si>
    <t>wrote last candidate the carry-bypass adder</t>
  </si>
  <si>
    <t xml:space="preserve">worked on the report edits and images. </t>
  </si>
  <si>
    <t>worked on the summary</t>
  </si>
  <si>
    <t>workend on esecution unit and shifter</t>
  </si>
  <si>
    <t>worked on shifter and logic unit</t>
  </si>
  <si>
    <t>timing and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</si>
</sst>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zoomScale="85" zoomScaleNormal="85" workbookViewId="0">
      <selection activeCell="B4" sqref="B4:D4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13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topLeftCell="C14" zoomScale="85" zoomScaleNormal="85" workbookViewId="0">
      <selection activeCell="G15" sqref="G15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14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0.4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45937</v>
      </c>
      <c r="D7" s="19">
        <v>0.625</v>
      </c>
      <c r="E7" s="20">
        <v>0.68402777777777779</v>
      </c>
      <c r="F7" s="33"/>
      <c r="G7" s="15" t="s">
        <v>23</v>
      </c>
      <c r="H7" s="11">
        <f t="shared" ref="H7" si="0">(E7-D7)*24</f>
        <v>1.416666666666667</v>
      </c>
      <c r="I7" s="9"/>
    </row>
    <row r="8" spans="1:9" ht="24.9" customHeight="1" x14ac:dyDescent="0.35">
      <c r="A8" s="31"/>
      <c r="B8" s="13">
        <v>4255</v>
      </c>
      <c r="C8" s="21">
        <v>45937</v>
      </c>
      <c r="D8" s="19">
        <v>0.6875</v>
      </c>
      <c r="E8" s="22">
        <v>0.72916666666666663</v>
      </c>
      <c r="F8" s="34"/>
      <c r="G8" s="16" t="s">
        <v>22</v>
      </c>
      <c r="H8" s="26">
        <f>(E8-D8)*24</f>
        <v>0.99999999999999911</v>
      </c>
    </row>
    <row r="9" spans="1:9" ht="24.9" customHeight="1" x14ac:dyDescent="0.35">
      <c r="A9" s="31"/>
      <c r="B9" s="13">
        <v>4255</v>
      </c>
      <c r="C9" s="21">
        <v>45938</v>
      </c>
      <c r="D9" s="19">
        <v>0.6875</v>
      </c>
      <c r="E9" s="22">
        <v>0.77083333333333337</v>
      </c>
      <c r="F9" s="34"/>
      <c r="G9" s="16" t="s">
        <v>24</v>
      </c>
      <c r="H9" s="26">
        <f t="shared" ref="H9:H72" si="1">(E9-D9)*24</f>
        <v>2.0000000000000009</v>
      </c>
    </row>
    <row r="10" spans="1:9" ht="24.9" customHeight="1" x14ac:dyDescent="0.35">
      <c r="A10" s="31"/>
      <c r="B10" s="13">
        <v>4255</v>
      </c>
      <c r="C10" s="21">
        <v>45938</v>
      </c>
      <c r="D10" s="19">
        <v>0.77083333333333337</v>
      </c>
      <c r="E10" s="22">
        <v>0.8125</v>
      </c>
      <c r="F10" s="34"/>
      <c r="G10" s="16" t="s">
        <v>25</v>
      </c>
      <c r="H10" s="26">
        <f t="shared" si="1"/>
        <v>0.99999999999999911</v>
      </c>
    </row>
    <row r="11" spans="1:9" ht="24.9" customHeight="1" x14ac:dyDescent="0.35">
      <c r="A11" s="31"/>
      <c r="B11" s="13">
        <v>4255</v>
      </c>
      <c r="C11" s="21">
        <v>45940</v>
      </c>
      <c r="D11" s="19">
        <v>0.6875</v>
      </c>
      <c r="E11" s="22">
        <v>0.77083333333333337</v>
      </c>
      <c r="F11" s="34"/>
      <c r="G11" s="16" t="s">
        <v>26</v>
      </c>
      <c r="H11" s="26">
        <f t="shared" si="1"/>
        <v>2.0000000000000009</v>
      </c>
    </row>
    <row r="12" spans="1:9" ht="24.9" customHeight="1" x14ac:dyDescent="0.35">
      <c r="A12" s="31"/>
      <c r="B12" s="13">
        <v>4255</v>
      </c>
      <c r="C12" s="21">
        <v>45940</v>
      </c>
      <c r="D12" s="19">
        <v>0.77083333333333337</v>
      </c>
      <c r="E12" s="22">
        <v>0.875</v>
      </c>
      <c r="F12" s="34"/>
      <c r="G12" s="16" t="s">
        <v>27</v>
      </c>
      <c r="H12" s="26">
        <f t="shared" si="1"/>
        <v>2.4999999999999991</v>
      </c>
    </row>
    <row r="13" spans="1:9" ht="24.9" customHeight="1" x14ac:dyDescent="0.35">
      <c r="A13" s="31"/>
      <c r="B13" s="13">
        <v>4255</v>
      </c>
      <c r="C13" s="21">
        <v>45941</v>
      </c>
      <c r="D13" s="19">
        <v>0.83333333333333337</v>
      </c>
      <c r="E13" s="22">
        <v>0.89583333333333337</v>
      </c>
      <c r="F13" s="34"/>
      <c r="G13" s="16" t="s">
        <v>28</v>
      </c>
      <c r="H13" s="26">
        <f t="shared" si="1"/>
        <v>1.5</v>
      </c>
    </row>
    <row r="14" spans="1:9" ht="24.9" customHeight="1" x14ac:dyDescent="0.35">
      <c r="A14" s="31"/>
      <c r="B14" s="13">
        <v>4255</v>
      </c>
      <c r="C14" s="21">
        <v>45942</v>
      </c>
      <c r="D14" s="19">
        <v>0.5</v>
      </c>
      <c r="E14" s="22">
        <v>0.58333333333333337</v>
      </c>
      <c r="F14" s="34"/>
      <c r="G14" s="16" t="s">
        <v>29</v>
      </c>
      <c r="H14" s="26">
        <f t="shared" si="1"/>
        <v>2.0000000000000009</v>
      </c>
    </row>
    <row r="15" spans="1:9" ht="24.9" customHeight="1" x14ac:dyDescent="0.35">
      <c r="A15" s="31"/>
      <c r="B15" s="13">
        <v>4255</v>
      </c>
      <c r="C15" s="21">
        <v>45942</v>
      </c>
      <c r="D15" s="19">
        <v>0.80902777777777779</v>
      </c>
      <c r="E15" s="22"/>
      <c r="F15" s="34"/>
      <c r="G15" s="16" t="s">
        <v>30</v>
      </c>
      <c r="H15" s="26">
        <f t="shared" si="1"/>
        <v>-19.416666666666668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-6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topLeftCell="C1" zoomScale="85" zoomScaleNormal="85" workbookViewId="0">
      <selection activeCell="G11" sqref="G11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21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0.3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45948</v>
      </c>
      <c r="D7" s="19">
        <v>0.54166666666666663</v>
      </c>
      <c r="E7" s="20">
        <v>0.60416666666666663</v>
      </c>
      <c r="F7" s="33"/>
      <c r="G7" s="15" t="s">
        <v>31</v>
      </c>
      <c r="H7" s="11">
        <f t="shared" ref="H7" si="0">(E7-D7)*24</f>
        <v>1.5</v>
      </c>
      <c r="I7" s="9"/>
    </row>
    <row r="8" spans="1:9" ht="24.9" customHeight="1" x14ac:dyDescent="0.35">
      <c r="A8" s="31"/>
      <c r="B8" s="13">
        <v>4255</v>
      </c>
      <c r="C8" s="21">
        <v>45948</v>
      </c>
      <c r="D8" s="19">
        <v>0.60416666666666663</v>
      </c>
      <c r="E8" s="22">
        <v>0.64583333333333337</v>
      </c>
      <c r="F8" s="34"/>
      <c r="G8" s="16" t="s">
        <v>32</v>
      </c>
      <c r="H8" s="26">
        <f>(E8-D8)*24</f>
        <v>1.0000000000000018</v>
      </c>
    </row>
    <row r="9" spans="1:9" ht="24.9" customHeight="1" x14ac:dyDescent="0.35">
      <c r="A9" s="31"/>
      <c r="B9" s="13">
        <v>4255</v>
      </c>
      <c r="C9" s="21">
        <v>45949</v>
      </c>
      <c r="D9" s="19">
        <v>0.58333333333333337</v>
      </c>
      <c r="E9" s="22">
        <v>0.60416666666666663</v>
      </c>
      <c r="F9" s="34"/>
      <c r="G9" s="16" t="s">
        <v>33</v>
      </c>
      <c r="H9" s="26">
        <f t="shared" ref="H9:H72" si="1">(E9-D9)*24</f>
        <v>0.49999999999999822</v>
      </c>
    </row>
    <row r="10" spans="1:9" ht="24.9" customHeight="1" x14ac:dyDescent="0.35">
      <c r="A10" s="31"/>
      <c r="B10" s="13">
        <v>4255</v>
      </c>
      <c r="C10" s="21">
        <v>45955</v>
      </c>
      <c r="D10" s="19">
        <v>0.58333333333333337</v>
      </c>
      <c r="E10" s="22">
        <v>0.72916666666666663</v>
      </c>
      <c r="F10" s="34"/>
      <c r="G10" s="16" t="s">
        <v>34</v>
      </c>
      <c r="H10" s="26">
        <f t="shared" si="1"/>
        <v>3.4999999999999982</v>
      </c>
    </row>
    <row r="11" spans="1:9" ht="24.9" customHeight="1" x14ac:dyDescent="0.35">
      <c r="A11" s="31"/>
      <c r="B11" s="13">
        <v>4255</v>
      </c>
      <c r="C11" s="21">
        <v>45956</v>
      </c>
      <c r="D11" s="19">
        <v>0.58333333333333337</v>
      </c>
      <c r="E11" s="22">
        <v>0.66666666666666663</v>
      </c>
      <c r="F11" s="34"/>
      <c r="G11" s="16" t="s">
        <v>35</v>
      </c>
      <c r="H11" s="26">
        <f t="shared" si="1"/>
        <v>1.9999999999999982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8.4999999999999964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B3" sqref="B3:D3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16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3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topLeftCell="A3" zoomScale="85" zoomScaleNormal="85" workbookViewId="0">
      <selection activeCell="D10" sqref="D10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 t="s">
        <v>20</v>
      </c>
      <c r="C2" s="51"/>
      <c r="D2" s="52"/>
      <c r="E2" s="44" t="s">
        <v>17</v>
      </c>
      <c r="F2" s="45"/>
      <c r="G2" s="45"/>
    </row>
    <row r="3" spans="1:9" ht="24.9" customHeight="1" x14ac:dyDescent="0.3">
      <c r="A3" s="36" t="s">
        <v>5</v>
      </c>
      <c r="B3" s="53">
        <v>301454255</v>
      </c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41">
        <v>0.45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45960</v>
      </c>
      <c r="D7" s="19">
        <v>0.70833333333333337</v>
      </c>
      <c r="E7" s="20">
        <v>0.8125</v>
      </c>
      <c r="F7" s="33"/>
      <c r="G7" s="15" t="s">
        <v>39</v>
      </c>
      <c r="H7" s="11">
        <f t="shared" ref="H7" si="0">(E7-D7)*24</f>
        <v>2.4999999999999991</v>
      </c>
      <c r="I7" s="9"/>
    </row>
    <row r="8" spans="1:9" ht="24.9" customHeight="1" x14ac:dyDescent="0.35">
      <c r="A8" s="31"/>
      <c r="B8" s="13">
        <v>4255</v>
      </c>
      <c r="C8" s="21">
        <v>45961</v>
      </c>
      <c r="D8" s="19">
        <v>0.66666666666666663</v>
      </c>
      <c r="E8" s="22">
        <v>0.79166666666666663</v>
      </c>
      <c r="F8" s="34"/>
      <c r="G8" s="16" t="s">
        <v>36</v>
      </c>
      <c r="H8" s="26">
        <f>(E8-D8)*24</f>
        <v>3</v>
      </c>
    </row>
    <row r="9" spans="1:9" ht="24.9" customHeight="1" x14ac:dyDescent="0.35">
      <c r="A9" s="31"/>
      <c r="B9" s="13">
        <v>4255</v>
      </c>
      <c r="C9" s="21">
        <v>45965</v>
      </c>
      <c r="D9" s="19">
        <v>0.66666666666666663</v>
      </c>
      <c r="E9" s="22">
        <v>0.8125</v>
      </c>
      <c r="F9" s="34"/>
      <c r="G9" s="16" t="s">
        <v>37</v>
      </c>
      <c r="H9" s="26">
        <f t="shared" ref="H9:H72" si="1">(E9-D9)*24</f>
        <v>3.5000000000000009</v>
      </c>
    </row>
    <row r="10" spans="1:9" ht="24.9" customHeight="1" x14ac:dyDescent="0.35">
      <c r="A10" s="31"/>
      <c r="B10" s="13">
        <v>4255</v>
      </c>
      <c r="C10" s="21">
        <v>45972</v>
      </c>
      <c r="D10" s="19">
        <v>0.66666666666666663</v>
      </c>
      <c r="E10" s="22">
        <v>0.75</v>
      </c>
      <c r="F10" s="34"/>
      <c r="G10" s="16" t="s">
        <v>41</v>
      </c>
      <c r="H10" s="26">
        <f t="shared" si="1"/>
        <v>2.0000000000000009</v>
      </c>
    </row>
    <row r="11" spans="1:9" ht="24.9" customHeight="1" x14ac:dyDescent="0.35">
      <c r="A11" s="31"/>
      <c r="B11" s="13">
        <v>4255</v>
      </c>
      <c r="C11" s="21">
        <v>45973</v>
      </c>
      <c r="D11" s="19">
        <v>0.625</v>
      </c>
      <c r="E11" s="22">
        <v>0.6875</v>
      </c>
      <c r="F11" s="34"/>
      <c r="G11" s="16" t="s">
        <v>42</v>
      </c>
      <c r="H11" s="26">
        <f t="shared" si="1"/>
        <v>1.5</v>
      </c>
    </row>
    <row r="12" spans="1:9" ht="24.9" customHeight="1" x14ac:dyDescent="0.35">
      <c r="A12" s="31"/>
      <c r="B12" s="13">
        <v>4255</v>
      </c>
      <c r="C12" s="21">
        <v>45973</v>
      </c>
      <c r="D12" s="19">
        <v>0.6875</v>
      </c>
      <c r="E12" s="22">
        <v>0.72916666666666663</v>
      </c>
      <c r="F12" s="34"/>
      <c r="G12" s="16" t="s">
        <v>38</v>
      </c>
      <c r="H12" s="26">
        <f t="shared" si="1"/>
        <v>0.99999999999999911</v>
      </c>
    </row>
    <row r="13" spans="1:9" ht="24.9" customHeight="1" x14ac:dyDescent="0.35">
      <c r="A13" s="31"/>
      <c r="B13" s="13">
        <v>4255</v>
      </c>
      <c r="C13" s="21">
        <v>45973</v>
      </c>
      <c r="D13" s="19">
        <v>0.72916666666666663</v>
      </c>
      <c r="E13" s="22">
        <v>0.8125</v>
      </c>
      <c r="F13" s="34"/>
      <c r="G13" s="16" t="s">
        <v>43</v>
      </c>
      <c r="H13" s="26">
        <f t="shared" si="1"/>
        <v>2.0000000000000009</v>
      </c>
    </row>
    <row r="14" spans="1:9" ht="24.9" customHeight="1" x14ac:dyDescent="0.35">
      <c r="A14" s="31"/>
      <c r="B14" s="13">
        <v>4255</v>
      </c>
      <c r="C14" s="21">
        <v>45974</v>
      </c>
      <c r="D14" s="19">
        <v>0.625</v>
      </c>
      <c r="E14" s="22">
        <v>0.79166666666666663</v>
      </c>
      <c r="F14" s="34"/>
      <c r="G14" s="16" t="s">
        <v>44</v>
      </c>
      <c r="H14" s="26">
        <f t="shared" si="1"/>
        <v>3.9999999999999991</v>
      </c>
    </row>
    <row r="15" spans="1:9" ht="24.9" customHeight="1" x14ac:dyDescent="0.35">
      <c r="A15" s="31"/>
      <c r="B15" s="13">
        <v>4255</v>
      </c>
      <c r="C15" s="21">
        <v>45976</v>
      </c>
      <c r="D15" s="19">
        <v>0.75</v>
      </c>
      <c r="E15" s="22">
        <v>0.79166666666666663</v>
      </c>
      <c r="F15" s="34"/>
      <c r="G15" s="16" t="s">
        <v>40</v>
      </c>
      <c r="H15" s="26">
        <f t="shared" si="1"/>
        <v>0.99999999999999911</v>
      </c>
    </row>
    <row r="16" spans="1:9" ht="24.9" customHeight="1" x14ac:dyDescent="0.35">
      <c r="A16" s="31"/>
      <c r="B16" s="13">
        <v>4255</v>
      </c>
      <c r="C16" s="21">
        <v>45977</v>
      </c>
      <c r="D16" s="19">
        <v>0.60416666666666663</v>
      </c>
      <c r="E16" s="22">
        <v>0.83333333333333337</v>
      </c>
      <c r="F16" s="34"/>
      <c r="G16" s="16" t="s">
        <v>45</v>
      </c>
      <c r="H16" s="26">
        <f t="shared" si="1"/>
        <v>5.5000000000000018</v>
      </c>
    </row>
    <row r="17" spans="1:8" ht="24.9" customHeight="1" x14ac:dyDescent="0.35">
      <c r="A17" s="31"/>
      <c r="B17" s="13">
        <v>4255</v>
      </c>
      <c r="C17" s="21">
        <v>45977</v>
      </c>
      <c r="D17" s="19">
        <v>0.83333333333333337</v>
      </c>
      <c r="E17" s="22">
        <v>0.875</v>
      </c>
      <c r="F17" s="34"/>
      <c r="G17" s="16" t="s">
        <v>46</v>
      </c>
      <c r="H17" s="26">
        <f t="shared" si="1"/>
        <v>0.99999999999999911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27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tabSelected="1" topLeftCell="A3" zoomScale="85" zoomScaleNormal="85" workbookViewId="0">
      <selection activeCell="G14" sqref="G14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" customHeight="1" x14ac:dyDescent="0.3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35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35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4255</v>
      </c>
      <c r="C7" s="18">
        <v>45989</v>
      </c>
      <c r="D7" s="19">
        <v>0.14583333333333334</v>
      </c>
      <c r="E7" s="20">
        <v>0.39583333333333331</v>
      </c>
      <c r="F7" s="33"/>
      <c r="G7" s="15" t="s">
        <v>47</v>
      </c>
      <c r="H7" s="11">
        <f t="shared" ref="H7" si="0">(E7-D7)*24</f>
        <v>5.9999999999999991</v>
      </c>
      <c r="I7" s="9"/>
    </row>
    <row r="8" spans="1:9" ht="24.9" customHeight="1" x14ac:dyDescent="0.35">
      <c r="A8" s="31"/>
      <c r="B8" s="13">
        <v>4255</v>
      </c>
      <c r="C8" s="21">
        <v>45991</v>
      </c>
      <c r="D8" s="19">
        <v>0.52083333333333337</v>
      </c>
      <c r="E8" s="22">
        <v>0.89583333333333337</v>
      </c>
      <c r="F8" s="34"/>
      <c r="G8" s="16" t="s">
        <v>48</v>
      </c>
      <c r="H8" s="26">
        <f>(E8-D8)*24</f>
        <v>9</v>
      </c>
    </row>
    <row r="9" spans="1:9" ht="24.9" customHeight="1" x14ac:dyDescent="0.35">
      <c r="A9" s="31"/>
      <c r="B9" s="13">
        <v>4255</v>
      </c>
      <c r="C9" s="21">
        <v>45993</v>
      </c>
      <c r="D9" s="19">
        <v>0.1875</v>
      </c>
      <c r="E9" s="22">
        <v>0.49652777777777779</v>
      </c>
      <c r="F9" s="34"/>
      <c r="G9" s="16" t="s">
        <v>49</v>
      </c>
      <c r="H9" s="26">
        <f t="shared" ref="H9:H72" si="1">(E9-D9)*24</f>
        <v>7.416666666666667</v>
      </c>
    </row>
    <row r="10" spans="1:9" ht="24.9" customHeight="1" x14ac:dyDescent="0.3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3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3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3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3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3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3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35">
      <c r="F80" s="29"/>
      <c r="H80" s="28">
        <f>SUM(H7:H79)</f>
        <v>22.416666666666668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Simon Schaufele</cp:lastModifiedBy>
  <dcterms:created xsi:type="dcterms:W3CDTF">2020-03-26T16:58:46Z</dcterms:created>
  <dcterms:modified xsi:type="dcterms:W3CDTF">2025-12-03T07:42:33Z</dcterms:modified>
</cp:coreProperties>
</file>