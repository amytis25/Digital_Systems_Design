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afb57772ce9388/Desktop/SFU/2025/FALL 2025/ENSC350/ENSC-350/DP1-G12-350-1257/submission/DP1/Documentation/ActivityLogs/"/>
    </mc:Choice>
  </mc:AlternateContent>
  <xr:revisionPtr revIDLastSave="102" documentId="8_{9F9BD470-D14E-48DE-AD90-2993DBB3CE2C}" xr6:coauthVersionLast="47" xr6:coauthVersionMax="47" xr10:uidLastSave="{D5F7666E-34AB-4F3A-8FEC-FCB6E85CF6EF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12280" yWindow="2450" windowWidth="23890" windowHeight="15370" activeTab="2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<sst xmlns="http://schemas.openxmlformats.org/spreadsheetml/2006/main" count="136" uniqueCount="55">
  <si>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</si>
  <si>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</si>
  <si>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</si>
  <si>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</si>
  <si>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</si>
  <si>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</si>
  <si>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</si>
  <si>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</si>
  <si>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</si>
  <si>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</si>
  <si>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</si>
  <si>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</si>
  <si>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</si>
  <si>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</si>
  <si>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</si>
  <si>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</si>
  <si>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</si>
  <si>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</si>
  <si>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</si>
  <si>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</si>
  <si>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Amytis Saghafi</t>
  </si>
  <si>
    <t>G12</t>
  </si>
  <si>
    <t>30/09/2025</t>
  </si>
  <si>
    <t>1/9/2025</t>
  </si>
  <si>
    <t>6/10/2025</t>
  </si>
  <si>
    <t xml:space="preserve">5:30 PM
</t>
  </si>
  <si>
    <t>read and understood project requirements</t>
  </si>
  <si>
    <t>created and filled in all sections in DP1.0</t>
  </si>
  <si>
    <t xml:space="preserve">Created an outline for the project summary document </t>
  </si>
  <si>
    <t>7/10/2025</t>
  </si>
  <si>
    <t>9/10/2025</t>
  </si>
  <si>
    <t>10/10/2025</t>
  </si>
  <si>
    <t>11/10/2025</t>
  </si>
  <si>
    <t>Wrote VHDL Architecture for the baseline adder circuit</t>
  </si>
  <si>
    <t>Compiled the Quartus summary reports into easy-to-read to read textfiles</t>
  </si>
  <si>
    <t>Wrote python script to generate random test vectors and added some test vectors manually</t>
  </si>
  <si>
    <t>Helped write and complete VHDL architecture for conditional sum adder</t>
  </si>
  <si>
    <t>Helped debug testbenches (almost doing what we want it to do)</t>
  </si>
  <si>
    <t>Debugged testbench for ripple adder topology and generated run_ripple.do and Sim-Transcript-Ripple.txt from .do file simulation</t>
  </si>
  <si>
    <t>Debugged testbench for conditional sum adder topology and generated run_ripple.do and Sim-Transcript-Ripple.txt from .do file simulation</t>
  </si>
  <si>
    <t xml:space="preserve">wrote the introduction, added the appendix, and wrote the directory structure, including what each folder/file includes in the report </t>
  </si>
  <si>
    <t>12/10/2025</t>
  </si>
  <si>
    <t>improved circuit diagrams, added flow chart to experimental procedure</t>
  </si>
  <si>
    <t xml:space="preserve">improved Adder00.tvs and wrote the testbench section of report, added a flowchart </t>
  </si>
  <si>
    <t xml:space="preserve">Structured report document and submission folder </t>
  </si>
  <si>
    <t>17/10/2025</t>
  </si>
  <si>
    <t>16/10/2025</t>
  </si>
  <si>
    <t>15/10/2025</t>
  </si>
  <si>
    <t>14/10/2025</t>
  </si>
  <si>
    <t>made cost predictions for baseline</t>
  </si>
  <si>
    <t>made cost predictions for candidate 2</t>
  </si>
  <si>
    <t xml:space="preserve">researched and understood how to properly make cost predictions and tried 2, 4 and 8 bit adders to see how the code is mapped to logic elements </t>
  </si>
  <si>
    <t xml:space="preserve">made proper cost predictions for all design candidates </t>
  </si>
  <si>
    <t>19/10/2025</t>
  </si>
  <si>
    <t>finished the summary document (added cost analysis summary), and final look at everything, and organized the 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</si>
</sst>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3" fillId="0" borderId="6" xfId="0" applyNumberFormat="1" applyFont="1" applyBorder="1" applyAlignment="1">
      <alignment vertical="center"/>
    </xf>
    <xf numFmtId="2" fontId="3" fillId="0" borderId="10" xfId="0" applyNumberFormat="1" applyFont="1" applyBorder="1"/>
    <xf numFmtId="2" fontId="3" fillId="0" borderId="13" xfId="0" applyNumberFormat="1" applyFont="1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18" fontId="0" fillId="4" borderId="8" xfId="0" applyNumberFormat="1" applyFill="1" applyBorder="1" applyAlignment="1" applyProtection="1">
      <alignment vertical="center" wrapText="1"/>
      <protection locked="0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9" fontId="7" fillId="4" borderId="16" xfId="0" applyNumberFormat="1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7" fillId="4" borderId="1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zoomScale="85" zoomScaleNormal="85" workbookViewId="0">
      <selection activeCell="B5" sqref="B5:D5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9" t="s">
        <v>19</v>
      </c>
      <c r="B1" s="40"/>
      <c r="C1" s="40"/>
      <c r="D1" s="40"/>
      <c r="E1" s="40"/>
      <c r="F1" s="40"/>
      <c r="G1" s="40"/>
      <c r="H1" s="41"/>
    </row>
    <row r="2" spans="1:9" ht="24.9" customHeight="1" x14ac:dyDescent="0.35">
      <c r="A2" s="36" t="s">
        <v>6</v>
      </c>
      <c r="B2" s="51" t="s">
        <v>20</v>
      </c>
      <c r="C2" s="52"/>
      <c r="D2" s="53"/>
      <c r="E2" s="45" t="s">
        <v>13</v>
      </c>
      <c r="F2" s="46"/>
      <c r="G2" s="46"/>
    </row>
    <row r="3" spans="1:9" ht="24.9" customHeight="1" x14ac:dyDescent="0.35">
      <c r="A3" s="36" t="s">
        <v>5</v>
      </c>
      <c r="B3" s="54">
        <v>301455814</v>
      </c>
      <c r="C3" s="55"/>
      <c r="D3" s="56"/>
      <c r="E3" s="47"/>
      <c r="F3" s="48"/>
      <c r="G3" s="48"/>
    </row>
    <row r="4" spans="1:9" ht="24.9" customHeight="1" thickBot="1" x14ac:dyDescent="0.4">
      <c r="A4" s="36" t="s">
        <v>4</v>
      </c>
      <c r="B4" s="57" t="s">
        <v>21</v>
      </c>
      <c r="C4" s="43"/>
      <c r="D4" s="44"/>
      <c r="E4" s="47"/>
      <c r="F4" s="48"/>
      <c r="G4" s="48"/>
    </row>
    <row r="5" spans="1:9" ht="59.4" customHeight="1" thickBot="1" x14ac:dyDescent="0.4">
      <c r="A5" s="37" t="s">
        <v>11</v>
      </c>
      <c r="B5" s="42">
        <v>1</v>
      </c>
      <c r="C5" s="43"/>
      <c r="D5" s="44"/>
      <c r="E5" s="49"/>
      <c r="F5" s="50"/>
      <c r="G5" s="50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5">
      <c r="A7" s="30"/>
      <c r="B7" s="12">
        <v>5814</v>
      </c>
      <c r="C7" s="18" t="s">
        <v>22</v>
      </c>
      <c r="D7" s="38" t="s">
        <v>25</v>
      </c>
      <c r="E7" s="20">
        <v>0.76041666666666663</v>
      </c>
      <c r="F7" s="33"/>
      <c r="G7" s="15" t="s">
        <v>26</v>
      </c>
      <c r="H7" s="11" t="e">
        <f t="shared" ref="H7" si="0">(E7-D7)*24</f>
        <v>#VALUE!</v>
      </c>
      <c r="I7" s="9"/>
    </row>
    <row r="8" spans="1:9" ht="24.9" customHeight="1" x14ac:dyDescent="0.45">
      <c r="A8" s="31"/>
      <c r="B8" s="13">
        <v>5814</v>
      </c>
      <c r="C8" s="21" t="s">
        <v>23</v>
      </c>
      <c r="D8" s="19">
        <v>0.55208333333333337</v>
      </c>
      <c r="E8" s="22">
        <v>0.59375</v>
      </c>
      <c r="F8" s="34"/>
      <c r="G8" s="16" t="s">
        <v>27</v>
      </c>
      <c r="H8" s="26">
        <f>(E8-D8)*24</f>
        <v>0.99999999999999911</v>
      </c>
    </row>
    <row r="9" spans="1:9" ht="24.9" customHeight="1" x14ac:dyDescent="0.45">
      <c r="A9" s="31"/>
      <c r="B9" s="13">
        <v>5814</v>
      </c>
      <c r="C9" s="21" t="s">
        <v>24</v>
      </c>
      <c r="D9" s="19">
        <v>0.58333333333333337</v>
      </c>
      <c r="E9" s="22">
        <v>0.60416666666666663</v>
      </c>
      <c r="F9" s="34"/>
      <c r="G9" s="16" t="s">
        <v>28</v>
      </c>
      <c r="H9" s="26">
        <f t="shared" ref="H9:H72" si="1">(E9-D9)*24</f>
        <v>0.49999999999999822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 t="e">
        <f>SUM(H7:H79)</f>
        <v>#VALUE!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zoomScale="85" zoomScaleNormal="85" workbookViewId="0">
      <selection activeCell="B7" sqref="B7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9" t="s">
        <v>19</v>
      </c>
      <c r="B1" s="40"/>
      <c r="C1" s="40"/>
      <c r="D1" s="40"/>
      <c r="E1" s="40"/>
      <c r="F1" s="40"/>
      <c r="G1" s="40"/>
      <c r="H1" s="41"/>
    </row>
    <row r="2" spans="1:9" ht="24.9" customHeight="1" x14ac:dyDescent="0.35">
      <c r="A2" s="36" t="s">
        <v>6</v>
      </c>
      <c r="B2" s="51" t="s">
        <v>20</v>
      </c>
      <c r="C2" s="52"/>
      <c r="D2" s="53"/>
      <c r="E2" s="45" t="s">
        <v>14</v>
      </c>
      <c r="F2" s="46"/>
      <c r="G2" s="46"/>
    </row>
    <row r="3" spans="1:9" ht="24.9" customHeight="1" x14ac:dyDescent="0.35">
      <c r="A3" s="36" t="s">
        <v>5</v>
      </c>
      <c r="B3" s="54">
        <v>301455814</v>
      </c>
      <c r="C3" s="55"/>
      <c r="D3" s="56"/>
      <c r="E3" s="47"/>
      <c r="F3" s="48"/>
      <c r="G3" s="48"/>
    </row>
    <row r="4" spans="1:9" ht="24.9" customHeight="1" thickBot="1" x14ac:dyDescent="0.4">
      <c r="A4" s="36" t="s">
        <v>4</v>
      </c>
      <c r="B4" s="57" t="s">
        <v>21</v>
      </c>
      <c r="C4" s="43"/>
      <c r="D4" s="44"/>
      <c r="E4" s="47"/>
      <c r="F4" s="48"/>
      <c r="G4" s="48"/>
    </row>
    <row r="5" spans="1:9" ht="59.4" customHeight="1" thickBot="1" x14ac:dyDescent="0.4">
      <c r="A5" s="37" t="s">
        <v>11</v>
      </c>
      <c r="B5" s="42">
        <v>0.45</v>
      </c>
      <c r="C5" s="43"/>
      <c r="D5" s="44"/>
      <c r="E5" s="49"/>
      <c r="F5" s="50"/>
      <c r="G5" s="50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5">
      <c r="A7" s="30"/>
      <c r="B7" s="12">
        <v>5814</v>
      </c>
      <c r="C7" s="18" t="s">
        <v>29</v>
      </c>
      <c r="D7" s="19">
        <v>0.64583333333333337</v>
      </c>
      <c r="E7" s="20">
        <v>0.6875</v>
      </c>
      <c r="F7" s="33"/>
      <c r="G7" s="15" t="s">
        <v>33</v>
      </c>
      <c r="H7" s="11">
        <f t="shared" ref="H7" si="0">(E7-D7)*24</f>
        <v>0.99999999999999911</v>
      </c>
      <c r="I7" s="9"/>
    </row>
    <row r="8" spans="1:9" ht="24.9" customHeight="1" x14ac:dyDescent="0.45">
      <c r="A8" s="31"/>
      <c r="B8" s="13">
        <v>5814</v>
      </c>
      <c r="C8" s="21" t="s">
        <v>30</v>
      </c>
      <c r="D8" s="19">
        <v>0.6875</v>
      </c>
      <c r="E8" s="22">
        <v>0.77083333333333337</v>
      </c>
      <c r="F8" s="34"/>
      <c r="G8" s="16" t="s">
        <v>36</v>
      </c>
      <c r="H8" s="26">
        <f>(E8-D8)*24</f>
        <v>2.0000000000000009</v>
      </c>
    </row>
    <row r="9" spans="1:9" ht="24.9" customHeight="1" x14ac:dyDescent="0.45">
      <c r="A9" s="31"/>
      <c r="B9" s="13">
        <v>5814</v>
      </c>
      <c r="C9" s="21" t="s">
        <v>31</v>
      </c>
      <c r="D9" s="19">
        <v>0.72916666666666663</v>
      </c>
      <c r="E9" s="22">
        <v>0.75</v>
      </c>
      <c r="F9" s="34"/>
      <c r="G9" s="16" t="s">
        <v>34</v>
      </c>
      <c r="H9" s="26">
        <f t="shared" ref="H9:H72" si="1">(E9-D9)*24</f>
        <v>0.50000000000000089</v>
      </c>
    </row>
    <row r="10" spans="1:9" ht="24.9" customHeight="1" x14ac:dyDescent="0.45">
      <c r="A10" s="31"/>
      <c r="B10" s="13">
        <v>5814</v>
      </c>
      <c r="C10" s="21" t="s">
        <v>31</v>
      </c>
      <c r="D10" s="19">
        <v>0.73958333333333337</v>
      </c>
      <c r="E10" s="22">
        <v>0.78125</v>
      </c>
      <c r="F10" s="34"/>
      <c r="G10" s="16" t="s">
        <v>35</v>
      </c>
      <c r="H10" s="26">
        <f t="shared" si="1"/>
        <v>0.99999999999999911</v>
      </c>
    </row>
    <row r="11" spans="1:9" ht="24.9" customHeight="1" x14ac:dyDescent="0.45">
      <c r="A11" s="31"/>
      <c r="B11" s="13">
        <v>5814</v>
      </c>
      <c r="C11" s="21" t="s">
        <v>31</v>
      </c>
      <c r="D11" s="19">
        <v>0.78125</v>
      </c>
      <c r="E11" s="22">
        <v>0.88541666666666663</v>
      </c>
      <c r="F11" s="34"/>
      <c r="G11" s="16" t="s">
        <v>37</v>
      </c>
      <c r="H11" s="26">
        <f t="shared" si="1"/>
        <v>2.4999999999999991</v>
      </c>
    </row>
    <row r="12" spans="1:9" ht="24.9" customHeight="1" x14ac:dyDescent="0.45">
      <c r="A12" s="31"/>
      <c r="B12" s="13">
        <v>5814</v>
      </c>
      <c r="C12" s="21" t="s">
        <v>32</v>
      </c>
      <c r="D12" s="19">
        <v>0.58333333333333337</v>
      </c>
      <c r="E12" s="22">
        <v>0.66666666666666663</v>
      </c>
      <c r="F12" s="34"/>
      <c r="G12" s="16" t="s">
        <v>38</v>
      </c>
      <c r="H12" s="26">
        <f t="shared" si="1"/>
        <v>1.9999999999999982</v>
      </c>
    </row>
    <row r="13" spans="1:9" ht="24.9" customHeight="1" x14ac:dyDescent="0.45">
      <c r="A13" s="31"/>
      <c r="B13" s="13">
        <v>5814</v>
      </c>
      <c r="C13" s="21" t="s">
        <v>32</v>
      </c>
      <c r="D13" s="19">
        <v>0.71875</v>
      </c>
      <c r="E13" s="22">
        <v>0.77083333333333337</v>
      </c>
      <c r="F13" s="34"/>
      <c r="G13" s="16" t="s">
        <v>39</v>
      </c>
      <c r="H13" s="26">
        <f t="shared" si="1"/>
        <v>1.2500000000000009</v>
      </c>
    </row>
    <row r="14" spans="1:9" ht="24.9" customHeight="1" x14ac:dyDescent="0.45">
      <c r="A14" s="31"/>
      <c r="B14" s="13">
        <v>5814</v>
      </c>
      <c r="C14" s="21" t="s">
        <v>32</v>
      </c>
      <c r="D14" s="19">
        <v>0.77083333333333337</v>
      </c>
      <c r="E14" s="22">
        <v>0.80208333333333337</v>
      </c>
      <c r="F14" s="34"/>
      <c r="G14" s="16" t="s">
        <v>40</v>
      </c>
      <c r="H14" s="26">
        <f t="shared" si="1"/>
        <v>0.75</v>
      </c>
    </row>
    <row r="15" spans="1:9" ht="24.9" customHeight="1" x14ac:dyDescent="0.45">
      <c r="A15" s="31"/>
      <c r="B15" s="13">
        <v>5814</v>
      </c>
      <c r="C15" s="21" t="s">
        <v>41</v>
      </c>
      <c r="D15" s="19">
        <v>0.65625</v>
      </c>
      <c r="E15" s="22">
        <v>0.69791666666666663</v>
      </c>
      <c r="F15" s="34"/>
      <c r="G15" s="16" t="s">
        <v>42</v>
      </c>
      <c r="H15" s="26">
        <f t="shared" si="1"/>
        <v>0.99999999999999911</v>
      </c>
    </row>
    <row r="16" spans="1:9" ht="24.9" customHeight="1" x14ac:dyDescent="0.45">
      <c r="A16" s="31"/>
      <c r="B16" s="13">
        <v>5814</v>
      </c>
      <c r="C16" s="21" t="s">
        <v>41</v>
      </c>
      <c r="D16" s="19">
        <v>0.70833333333333337</v>
      </c>
      <c r="E16" s="22">
        <v>0.79166666666666663</v>
      </c>
      <c r="F16" s="34"/>
      <c r="G16" s="16" t="s">
        <v>43</v>
      </c>
      <c r="H16" s="26">
        <f t="shared" si="1"/>
        <v>1.9999999999999982</v>
      </c>
    </row>
    <row r="17" spans="1:8" ht="24.9" customHeight="1" x14ac:dyDescent="0.45">
      <c r="A17" s="31"/>
      <c r="B17" s="13">
        <v>5814</v>
      </c>
      <c r="C17" s="21" t="s">
        <v>41</v>
      </c>
      <c r="D17" s="19">
        <v>0.79166666666666663</v>
      </c>
      <c r="E17" s="22">
        <v>0.8125</v>
      </c>
      <c r="F17" s="34"/>
      <c r="G17" s="16" t="s">
        <v>44</v>
      </c>
      <c r="H17" s="26">
        <f t="shared" si="1"/>
        <v>0.50000000000000089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14.499999999999996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phoneticPr fontId="14" type="noConversion"/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tabSelected="1" topLeftCell="D1" zoomScale="85" zoomScaleNormal="85" workbookViewId="0">
      <selection activeCell="G11" sqref="G11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9" t="s">
        <v>19</v>
      </c>
      <c r="B1" s="40"/>
      <c r="C1" s="40"/>
      <c r="D1" s="40"/>
      <c r="E1" s="40"/>
      <c r="F1" s="40"/>
      <c r="G1" s="40"/>
      <c r="H1" s="41"/>
    </row>
    <row r="2" spans="1:9" ht="24.9" customHeight="1" x14ac:dyDescent="0.35">
      <c r="A2" s="36" t="s">
        <v>6</v>
      </c>
      <c r="B2" s="51" t="s">
        <v>20</v>
      </c>
      <c r="C2" s="52"/>
      <c r="D2" s="53"/>
      <c r="E2" s="45" t="s">
        <v>15</v>
      </c>
      <c r="F2" s="46"/>
      <c r="G2" s="46"/>
    </row>
    <row r="3" spans="1:9" ht="24.9" customHeight="1" x14ac:dyDescent="0.35">
      <c r="A3" s="36" t="s">
        <v>5</v>
      </c>
      <c r="B3" s="54">
        <v>301455814</v>
      </c>
      <c r="C3" s="55"/>
      <c r="D3" s="56"/>
      <c r="E3" s="47"/>
      <c r="F3" s="48"/>
      <c r="G3" s="48"/>
    </row>
    <row r="4" spans="1:9" ht="24.9" customHeight="1" thickBot="1" x14ac:dyDescent="0.4">
      <c r="A4" s="36" t="s">
        <v>4</v>
      </c>
      <c r="B4" s="57" t="s">
        <v>21</v>
      </c>
      <c r="C4" s="43"/>
      <c r="D4" s="44"/>
      <c r="E4" s="47"/>
      <c r="F4" s="48"/>
      <c r="G4" s="48"/>
    </row>
    <row r="5" spans="1:9" ht="59.4" customHeight="1" thickBot="1" x14ac:dyDescent="0.4">
      <c r="A5" s="37" t="s">
        <v>11</v>
      </c>
      <c r="B5" s="57" t="s">
        <v>12</v>
      </c>
      <c r="C5" s="43"/>
      <c r="D5" s="44"/>
      <c r="E5" s="49"/>
      <c r="F5" s="50"/>
      <c r="G5" s="50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5">
      <c r="A7" s="30"/>
      <c r="B7" s="12">
        <v>5814</v>
      </c>
      <c r="C7" s="18" t="s">
        <v>48</v>
      </c>
      <c r="D7" s="19">
        <v>0.76041666666666663</v>
      </c>
      <c r="E7" s="20">
        <v>0.80208333333333337</v>
      </c>
      <c r="F7" s="33"/>
      <c r="G7" s="15" t="s">
        <v>49</v>
      </c>
      <c r="H7" s="11">
        <f t="shared" ref="H7" si="0">(E7-D7)*24</f>
        <v>1.0000000000000018</v>
      </c>
      <c r="I7" s="9"/>
    </row>
    <row r="8" spans="1:9" ht="24.9" customHeight="1" x14ac:dyDescent="0.45">
      <c r="A8" s="31"/>
      <c r="B8" s="13">
        <v>5814</v>
      </c>
      <c r="C8" s="21" t="s">
        <v>47</v>
      </c>
      <c r="D8" s="19">
        <v>0.48958333333333331</v>
      </c>
      <c r="E8" s="22">
        <v>0.52083333333333337</v>
      </c>
      <c r="F8" s="34"/>
      <c r="G8" s="16" t="s">
        <v>50</v>
      </c>
      <c r="H8" s="26">
        <f>(E8-D8)*24</f>
        <v>0.75000000000000133</v>
      </c>
    </row>
    <row r="9" spans="1:9" ht="24.9" customHeight="1" x14ac:dyDescent="0.45">
      <c r="A9" s="31"/>
      <c r="B9" s="13">
        <v>5814</v>
      </c>
      <c r="C9" s="21" t="s">
        <v>46</v>
      </c>
      <c r="D9" s="19">
        <v>0.6875</v>
      </c>
      <c r="E9" s="22">
        <v>0.79166666666666663</v>
      </c>
      <c r="F9" s="34"/>
      <c r="G9" s="16" t="s">
        <v>51</v>
      </c>
      <c r="H9" s="26">
        <f t="shared" ref="H9:H72" si="1">(E9-D9)*24</f>
        <v>2.4999999999999991</v>
      </c>
    </row>
    <row r="10" spans="1:9" ht="24.9" customHeight="1" x14ac:dyDescent="0.45">
      <c r="A10" s="31"/>
      <c r="B10" s="13">
        <v>5814</v>
      </c>
      <c r="C10" s="21" t="s">
        <v>45</v>
      </c>
      <c r="D10" s="19">
        <v>0.54166666666666663</v>
      </c>
      <c r="E10" s="22">
        <v>0.625</v>
      </c>
      <c r="F10" s="34"/>
      <c r="G10" s="16" t="s">
        <v>52</v>
      </c>
      <c r="H10" s="26">
        <f t="shared" si="1"/>
        <v>2.0000000000000009</v>
      </c>
    </row>
    <row r="11" spans="1:9" ht="24.9" customHeight="1" x14ac:dyDescent="0.45">
      <c r="A11" s="31"/>
      <c r="B11" s="13">
        <v>5814</v>
      </c>
      <c r="C11" s="21" t="s">
        <v>53</v>
      </c>
      <c r="D11" s="19">
        <v>0.64583333333333337</v>
      </c>
      <c r="E11" s="22">
        <v>0.6875</v>
      </c>
      <c r="F11" s="34"/>
      <c r="G11" s="16" t="s">
        <v>54</v>
      </c>
      <c r="H11" s="26">
        <f t="shared" si="1"/>
        <v>0.99999999999999911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7.2500000000000018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G18" sqref="G18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9" t="s">
        <v>19</v>
      </c>
      <c r="B1" s="40"/>
      <c r="C1" s="40"/>
      <c r="D1" s="40"/>
      <c r="E1" s="40"/>
      <c r="F1" s="40"/>
      <c r="G1" s="40"/>
      <c r="H1" s="41"/>
    </row>
    <row r="2" spans="1:9" ht="24.9" customHeight="1" x14ac:dyDescent="0.35">
      <c r="A2" s="36" t="s">
        <v>6</v>
      </c>
      <c r="B2" s="51"/>
      <c r="C2" s="52"/>
      <c r="D2" s="53"/>
      <c r="E2" s="45" t="s">
        <v>16</v>
      </c>
      <c r="F2" s="46"/>
      <c r="G2" s="46"/>
    </row>
    <row r="3" spans="1:9" ht="24.9" customHeight="1" x14ac:dyDescent="0.35">
      <c r="A3" s="36" t="s">
        <v>5</v>
      </c>
      <c r="B3" s="54"/>
      <c r="C3" s="55"/>
      <c r="D3" s="56"/>
      <c r="E3" s="47"/>
      <c r="F3" s="48"/>
      <c r="G3" s="48"/>
    </row>
    <row r="4" spans="1:9" ht="24.9" customHeight="1" thickBot="1" x14ac:dyDescent="0.4">
      <c r="A4" s="36" t="s">
        <v>4</v>
      </c>
      <c r="B4" s="57" t="s">
        <v>9</v>
      </c>
      <c r="C4" s="43"/>
      <c r="D4" s="44"/>
      <c r="E4" s="47"/>
      <c r="F4" s="48"/>
      <c r="G4" s="48"/>
    </row>
    <row r="5" spans="1:9" ht="59.4" customHeight="1" thickBot="1" x14ac:dyDescent="0.4">
      <c r="A5" s="37" t="s">
        <v>11</v>
      </c>
      <c r="B5" s="57" t="s">
        <v>12</v>
      </c>
      <c r="C5" s="43"/>
      <c r="D5" s="44"/>
      <c r="E5" s="49"/>
      <c r="F5" s="50"/>
      <c r="G5" s="50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0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G12" sqref="G12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9" t="s">
        <v>19</v>
      </c>
      <c r="B1" s="40"/>
      <c r="C1" s="40"/>
      <c r="D1" s="40"/>
      <c r="E1" s="40"/>
      <c r="F1" s="40"/>
      <c r="G1" s="40"/>
      <c r="H1" s="41"/>
    </row>
    <row r="2" spans="1:9" ht="24.9" customHeight="1" x14ac:dyDescent="0.35">
      <c r="A2" s="36" t="s">
        <v>6</v>
      </c>
      <c r="B2" s="51"/>
      <c r="C2" s="52"/>
      <c r="D2" s="53"/>
      <c r="E2" s="45" t="s">
        <v>17</v>
      </c>
      <c r="F2" s="46"/>
      <c r="G2" s="46"/>
    </row>
    <row r="3" spans="1:9" ht="24.9" customHeight="1" x14ac:dyDescent="0.35">
      <c r="A3" s="36" t="s">
        <v>5</v>
      </c>
      <c r="B3" s="54"/>
      <c r="C3" s="55"/>
      <c r="D3" s="56"/>
      <c r="E3" s="47"/>
      <c r="F3" s="48"/>
      <c r="G3" s="48"/>
    </row>
    <row r="4" spans="1:9" ht="24.9" customHeight="1" thickBot="1" x14ac:dyDescent="0.4">
      <c r="A4" s="36" t="s">
        <v>4</v>
      </c>
      <c r="B4" s="57" t="s">
        <v>9</v>
      </c>
      <c r="C4" s="43"/>
      <c r="D4" s="44"/>
      <c r="E4" s="47"/>
      <c r="F4" s="48"/>
      <c r="G4" s="48"/>
    </row>
    <row r="5" spans="1:9" ht="59.4" customHeight="1" thickBot="1" x14ac:dyDescent="0.4">
      <c r="A5" s="37" t="s">
        <v>11</v>
      </c>
      <c r="B5" s="57" t="s">
        <v>12</v>
      </c>
      <c r="C5" s="43"/>
      <c r="D5" s="44"/>
      <c r="E5" s="49"/>
      <c r="F5" s="50"/>
      <c r="G5" s="50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0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E15" sqref="E15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9" t="s">
        <v>19</v>
      </c>
      <c r="B1" s="40"/>
      <c r="C1" s="40"/>
      <c r="D1" s="40"/>
      <c r="E1" s="40"/>
      <c r="F1" s="40"/>
      <c r="G1" s="40"/>
      <c r="H1" s="41"/>
    </row>
    <row r="2" spans="1:9" ht="24.9" customHeight="1" x14ac:dyDescent="0.35">
      <c r="A2" s="36" t="s">
        <v>6</v>
      </c>
      <c r="B2" s="51"/>
      <c r="C2" s="52"/>
      <c r="D2" s="53"/>
      <c r="E2" s="45" t="s">
        <v>18</v>
      </c>
      <c r="F2" s="46"/>
      <c r="G2" s="46"/>
    </row>
    <row r="3" spans="1:9" ht="24.9" customHeight="1" x14ac:dyDescent="0.35">
      <c r="A3" s="36" t="s">
        <v>5</v>
      </c>
      <c r="B3" s="54"/>
      <c r="C3" s="55"/>
      <c r="D3" s="56"/>
      <c r="E3" s="47"/>
      <c r="F3" s="48"/>
      <c r="G3" s="48"/>
    </row>
    <row r="4" spans="1:9" ht="24.9" customHeight="1" thickBot="1" x14ac:dyDescent="0.4">
      <c r="A4" s="36" t="s">
        <v>4</v>
      </c>
      <c r="B4" s="57" t="s">
        <v>9</v>
      </c>
      <c r="C4" s="43"/>
      <c r="D4" s="44"/>
      <c r="E4" s="47"/>
      <c r="F4" s="48"/>
      <c r="G4" s="48"/>
    </row>
    <row r="5" spans="1:9" ht="59.4" customHeight="1" thickBot="1" x14ac:dyDescent="0.4">
      <c r="A5" s="37" t="s">
        <v>11</v>
      </c>
      <c r="B5" s="57" t="s">
        <v>12</v>
      </c>
      <c r="C5" s="43"/>
      <c r="D5" s="44"/>
      <c r="E5" s="49"/>
      <c r="F5" s="50"/>
      <c r="G5" s="50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0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Amytis Saghafi</cp:lastModifiedBy>
  <dcterms:created xsi:type="dcterms:W3CDTF">2020-03-26T16:58:46Z</dcterms:created>
  <dcterms:modified xsi:type="dcterms:W3CDTF">2025-10-19T23:16:16Z</dcterms:modified>
</cp:coreProperties>
</file>