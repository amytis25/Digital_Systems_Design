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mytis\Desktop\SFU\2025\FALL2025\ENSC350\github\ENSC-350\FP\Submission\Documentation\"/>
    </mc:Choice>
  </mc:AlternateContent>
  <xr:revisionPtr revIDLastSave="0" documentId="13_ncr:1_{E833A861-6046-4441-BEBA-5267D5D988CE}" xr6:coauthVersionLast="47" xr6:coauthVersionMax="47" xr10:uidLastSave="{00000000-0000-0000-0000-000000000000}"/>
  <workbookProtection workbookAlgorithmName="SHA-512" workbookHashValue="uphip+fyQmgTbQWVslgKndYGTCUT2nMCnU8pTyuiPxh9t3MkaNQeLeeV1eDZUH8uYM8JtsIZJzZApwnnbRUEcA==" workbookSaltValue="PVE5+bPUyqyV9jE5EaqSxw==" workbookSpinCount="100000" lockStructure="1"/>
  <bookViews>
    <workbookView xWindow="9290" yWindow="5510" windowWidth="23890" windowHeight="15370" activeTab="5"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1" l="1"/>
  <c r="H80" i="10"/>
  <c r="H80" i="9"/>
  <c r="H80" i="7"/>
  <c r="H80" i="6"/>
  <c r="H80" i="5"/>
</calcChain>
</file>

<file path=xl/sharedStrings.xml><?xml version="1.0" encoding="utf-8"?>
<sst xmlns="http://schemas.openxmlformats.org/spreadsheetml/2006/main" count="156" uniqueCount="73">
  <si>
    <t>last  4 digits</t>
  </si>
  <si>
    <t>date</t>
  </si>
  <si>
    <t>starttime</t>
  </si>
  <si>
    <t>endtime</t>
  </si>
  <si>
    <t>Group Number:</t>
  </si>
  <si>
    <t>Full Student Number:</t>
  </si>
  <si>
    <t>Student Name:</t>
  </si>
  <si>
    <t>rsvd</t>
  </si>
  <si>
    <t>Duration</t>
  </si>
  <si>
    <r>
      <t xml:space="preserve">description of Micro-Activity </t>
    </r>
    <r>
      <rPr>
        <sz val="11"/>
        <color theme="1"/>
        <rFont val="Times New Roman"/>
        <family val="1"/>
      </rPr>
      <t>( include relevant facts and details)</t>
    </r>
  </si>
  <si>
    <t>Members Relative Contribution:
(estimate your contribution to this phase of the project)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</si>
  <si>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</si>
  <si>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</si>
  <si>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</si>
  <si>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</si>
  <si>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</si>
  <si>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</si>
  <si>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</si>
  <si>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Amytis Saghafi</t>
  </si>
  <si>
    <t>G12</t>
  </si>
  <si>
    <t>30/09/2025</t>
  </si>
  <si>
    <t>1/9/2025</t>
  </si>
  <si>
    <t>6/10/2025</t>
  </si>
  <si>
    <t xml:space="preserve">5:30 PM
</t>
  </si>
  <si>
    <t>read and understood project requirements</t>
  </si>
  <si>
    <t>created and filled in all sections in DP1.0</t>
  </si>
  <si>
    <t xml:space="preserve">Created an outline for the project summary document </t>
  </si>
  <si>
    <t>7/10/2025</t>
  </si>
  <si>
    <t>9/10/2025</t>
  </si>
  <si>
    <t>10/10/2025</t>
  </si>
  <si>
    <t>11/10/2025</t>
  </si>
  <si>
    <t>Wrote VHDL Architecture for the baseline adder circuit</t>
  </si>
  <si>
    <t>Compiled the Quartus summary reports into easy-to-read to read textfiles</t>
  </si>
  <si>
    <t>Wrote python script to generate random test vectors and added some test vectors manually</t>
  </si>
  <si>
    <t>Helped write and complete VHDL architecture for conditional sum adder</t>
  </si>
  <si>
    <t>Helped debug testbenches (almost doing what we want it to do)</t>
  </si>
  <si>
    <t>Debugged testbench for ripple adder topology and generated run_ripple.do and Sim-Transcript-Ripple.txt from .do file simulation</t>
  </si>
  <si>
    <t>Debugged testbench for conditional sum adder topology and generated run_ripple.do and Sim-Transcript-Ripple.txt from .do file simulation</t>
  </si>
  <si>
    <t xml:space="preserve">wrote the introduction, added the appendix, and wrote the directory structure, including what each folder/file includes in the report </t>
  </si>
  <si>
    <t>12/10/2025</t>
  </si>
  <si>
    <t>improved circuit diagrams, added flow chart to experimental procedure</t>
  </si>
  <si>
    <t xml:space="preserve">improved Adder00.tvs and wrote the testbench section of report, added a flowchart </t>
  </si>
  <si>
    <t xml:space="preserve">Structured report document and submission folder </t>
  </si>
  <si>
    <t>17/10/2025</t>
  </si>
  <si>
    <t>16/10/2025</t>
  </si>
  <si>
    <t>15/10/2025</t>
  </si>
  <si>
    <t>14/10/2025</t>
  </si>
  <si>
    <t>made cost predictions for baseline</t>
  </si>
  <si>
    <t>made cost predictions for candidate 2</t>
  </si>
  <si>
    <t xml:space="preserve">researched and understood how to properly make cost predictions and tried 2, 4 and 8 bit adders to see how the code is mapped to logic elements </t>
  </si>
  <si>
    <t xml:space="preserve">made proper cost predictions for all design candidates </t>
  </si>
  <si>
    <t>19/10/2025</t>
  </si>
  <si>
    <t>finished the summary document (added cost analysis summary), and final look at everything, and organized the directory</t>
  </si>
  <si>
    <t>25/10/2025</t>
  </si>
  <si>
    <t>redid calculations based on post fitting results for the 2 and 4 bit cases, rewrote design candidate section, and adjusted the flowchart in procedure</t>
  </si>
  <si>
    <t>26/10/2025</t>
  </si>
  <si>
    <t>added annotations to images, final read through and touches</t>
  </si>
  <si>
    <t>30/10/2025</t>
  </si>
  <si>
    <t>Created an outline for the project report and the summary report</t>
  </si>
  <si>
    <t>helped write and debug and test a 4 bit look ahead carry network component</t>
  </si>
  <si>
    <t>finished brent kung adder</t>
  </si>
  <si>
    <t>worked on lws5 to learn about timing simulations</t>
  </si>
  <si>
    <t>implemented a carry look ahead tree architecture for the adder</t>
  </si>
  <si>
    <t>got all candidates quartus summaries and .vho and .sdo files</t>
  </si>
  <si>
    <t>helped writing testbench and timing simulation, wrote all .do scripts</t>
  </si>
  <si>
    <t xml:space="preserve">improved .do files and transcripts and compiled a kept the quartus synthesis for the last candidate </t>
  </si>
  <si>
    <t xml:space="preserve">did LACTA and BKA cost and timing calculations, found delays for cyclone LES, drew brent-kung adder on the report, updated directory in the appendix, made experimental procedures and testbench procedure flowcharts </t>
  </si>
  <si>
    <t>did cost and timing estimations for CBA, created images for the CBA and LACTA, wrote blurbs for intro and experimental procedure, added annotated waveform to testbench section, completed timing analysis section, found delays for an ALM, updated the references, wrote result analysis section of Summary report</t>
  </si>
  <si>
    <t>Made the execution unit</t>
  </si>
  <si>
    <t>completed both shift architecture, created a python script to create .do files, compiled and debugged the completed exec unit and grabbed .vho and .sdo files for each candidate, updated TB from DP2 to be used tor FP, and started trying to create test vectors, wrote a simple config file for quartus and wrote a config file for TB (not sure if it works yet)</t>
  </si>
  <si>
    <t>debugged test bench and fixed test vectors to fit the test bench</t>
  </si>
  <si>
    <t xml:space="preserve">fixed entity to work for various Ns got timing files for N= 32, 64, and 128 and compiled quartus summaries. Adjusted TB allow changes in test vector file name and N, updated python script to write updated do files </t>
  </si>
  <si>
    <t>Fixed test bench and test vectors, did introduction, experimental procedure, topology explanations, testbench and optimization analysis of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</si>
</sst>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5" x14ac:knownFonts="1">
    <font>
      <sz val="11"/>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8">
    <xf numFmtId="0" fontId="0" fillId="0" borderId="0" xfId="0"/>
    <xf numFmtId="0" fontId="1" fillId="0" borderId="0" xfId="0" applyFont="1" applyAlignment="1">
      <alignment horizontal="center" vertical="center"/>
    </xf>
    <xf numFmtId="164" fontId="0" fillId="0" borderId="0" xfId="0" applyNumberFormat="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164" fontId="1"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18" fontId="0" fillId="0" borderId="0" xfId="0" applyNumberFormat="1"/>
    <xf numFmtId="18" fontId="1" fillId="3" borderId="2" xfId="0" applyNumberFormat="1" applyFont="1" applyFill="1" applyBorder="1" applyAlignment="1">
      <alignment horizontal="center" vertical="center"/>
    </xf>
    <xf numFmtId="2" fontId="3" fillId="0" borderId="0" xfId="0" applyNumberFormat="1" applyFont="1" applyAlignment="1">
      <alignment vertical="center"/>
    </xf>
    <xf numFmtId="18" fontId="1" fillId="3" borderId="4" xfId="0" applyNumberFormat="1" applyFont="1" applyFill="1" applyBorder="1" applyAlignment="1">
      <alignment horizontal="center" vertical="center"/>
    </xf>
    <xf numFmtId="2" fontId="3" fillId="0" borderId="6" xfId="0" applyNumberFormat="1" applyFont="1" applyBorder="1" applyAlignment="1" applyProtection="1">
      <alignment vertical="center"/>
      <protection hidden="1"/>
    </xf>
    <xf numFmtId="165" fontId="3" fillId="4" borderId="7" xfId="0" applyNumberFormat="1" applyFont="1" applyFill="1" applyBorder="1" applyAlignment="1" applyProtection="1">
      <alignment horizontal="center" vertical="center"/>
      <protection locked="0"/>
    </xf>
    <xf numFmtId="165" fontId="3" fillId="4" borderId="11" xfId="0" applyNumberFormat="1" applyFont="1" applyFill="1" applyBorder="1" applyAlignment="1" applyProtection="1">
      <alignment horizontal="center" vertical="center"/>
      <protection locked="0"/>
    </xf>
    <xf numFmtId="165" fontId="3"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3" fillId="0" borderId="10" xfId="0" applyNumberFormat="1" applyFont="1" applyBorder="1" applyProtection="1">
      <protection hidden="1"/>
    </xf>
    <xf numFmtId="2" fontId="3" fillId="0" borderId="13" xfId="0" applyNumberFormat="1" applyFont="1" applyBorder="1" applyProtection="1">
      <protection hidden="1"/>
    </xf>
    <xf numFmtId="2" fontId="3" fillId="5" borderId="0" xfId="0" applyNumberFormat="1" applyFont="1" applyFill="1" applyProtection="1">
      <protection hidden="1"/>
    </xf>
    <xf numFmtId="2" fontId="3"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3" fillId="0" borderId="6" xfId="0" applyNumberFormat="1" applyFont="1" applyBorder="1" applyAlignment="1">
      <alignment vertical="center"/>
    </xf>
    <xf numFmtId="2" fontId="3" fillId="0" borderId="10" xfId="0" applyNumberFormat="1" applyFont="1" applyBorder="1"/>
    <xf numFmtId="2" fontId="3" fillId="0" borderId="13" xfId="0" applyNumberFormat="1" applyFont="1" applyBorder="1"/>
    <xf numFmtId="0" fontId="11" fillId="2" borderId="0" xfId="0" applyFont="1" applyFill="1" applyAlignment="1">
      <alignment horizontal="left" vertical="center"/>
    </xf>
    <xf numFmtId="0" fontId="12" fillId="2" borderId="20" xfId="0" applyFont="1" applyFill="1" applyBorder="1" applyAlignment="1">
      <alignment horizontal="left" vertical="center" wrapText="1"/>
    </xf>
    <xf numFmtId="18" fontId="0" fillId="4" borderId="8" xfId="0" applyNumberFormat="1" applyFill="1" applyBorder="1" applyAlignment="1" applyProtection="1">
      <alignment vertical="center" wrapText="1"/>
      <protection locked="0"/>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9" fontId="7" fillId="4" borderId="16" xfId="0" applyNumberFormat="1" applyFont="1" applyFill="1" applyBorder="1" applyAlignment="1" applyProtection="1">
      <alignment horizontal="center" vertical="center"/>
      <protection locked="0"/>
    </xf>
    <xf numFmtId="0" fontId="7" fillId="4" borderId="10" xfId="0" applyFont="1" applyFill="1" applyBorder="1" applyAlignment="1" applyProtection="1">
      <alignment horizontal="center" vertical="center"/>
      <protection locked="0"/>
    </xf>
    <xf numFmtId="0" fontId="7" fillId="4" borderId="17" xfId="0" applyFont="1" applyFill="1" applyBorder="1" applyAlignment="1" applyProtection="1">
      <alignment horizontal="center" vertical="center"/>
      <protection locked="0"/>
    </xf>
    <xf numFmtId="18" fontId="4" fillId="5" borderId="21" xfId="0" applyNumberFormat="1" applyFont="1" applyFill="1" applyBorder="1" applyAlignment="1">
      <alignment horizontal="center" vertical="center"/>
    </xf>
    <xf numFmtId="18" fontId="4" fillId="5" borderId="4" xfId="0" applyNumberFormat="1" applyFont="1" applyFill="1" applyBorder="1" applyAlignment="1">
      <alignment horizontal="center" vertical="center"/>
    </xf>
    <xf numFmtId="18" fontId="4" fillId="5" borderId="22" xfId="0" applyNumberFormat="1" applyFont="1" applyFill="1" applyBorder="1" applyAlignment="1">
      <alignment horizontal="center" vertical="center"/>
    </xf>
    <xf numFmtId="18" fontId="4" fillId="5" borderId="0" xfId="0" applyNumberFormat="1" applyFont="1" applyFill="1" applyAlignment="1">
      <alignment horizontal="center" vertical="center"/>
    </xf>
    <xf numFmtId="18" fontId="4" fillId="5" borderId="23" xfId="0" applyNumberFormat="1" applyFont="1" applyFill="1" applyBorder="1" applyAlignment="1">
      <alignment horizontal="center" vertical="center"/>
    </xf>
    <xf numFmtId="18" fontId="4" fillId="5" borderId="24" xfId="0" applyNumberFormat="1" applyFont="1" applyFill="1" applyBorder="1" applyAlignment="1">
      <alignment horizontal="center" vertical="center"/>
    </xf>
    <xf numFmtId="0" fontId="6" fillId="4" borderId="18" xfId="0" applyFont="1" applyFill="1" applyBorder="1" applyAlignment="1" applyProtection="1">
      <alignment horizontal="center" vertical="center"/>
      <protection locked="0"/>
    </xf>
    <xf numFmtId="0" fontId="6" fillId="4" borderId="6" xfId="0" applyFont="1" applyFill="1" applyBorder="1" applyAlignment="1" applyProtection="1">
      <alignment horizontal="center" vertical="center"/>
      <protection locked="0"/>
    </xf>
    <xf numFmtId="0" fontId="6" fillId="4" borderId="19"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vertical="center"/>
      <protection locked="0"/>
    </xf>
    <xf numFmtId="0" fontId="3" fillId="4" borderId="10"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7" fillId="4" borderId="16"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zoomScale="85" zoomScaleNormal="85" workbookViewId="0">
      <selection activeCell="D7" sqref="D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17</v>
      </c>
      <c r="B1" s="40"/>
      <c r="C1" s="40"/>
      <c r="D1" s="40"/>
      <c r="E1" s="40"/>
      <c r="F1" s="40"/>
      <c r="G1" s="40"/>
      <c r="H1" s="41"/>
    </row>
    <row r="2" spans="1:9" ht="24.9" customHeight="1" x14ac:dyDescent="0.35">
      <c r="A2" s="36" t="s">
        <v>6</v>
      </c>
      <c r="B2" s="51" t="s">
        <v>18</v>
      </c>
      <c r="C2" s="52"/>
      <c r="D2" s="53"/>
      <c r="E2" s="45" t="s">
        <v>11</v>
      </c>
      <c r="F2" s="46"/>
      <c r="G2" s="46"/>
    </row>
    <row r="3" spans="1:9" ht="24.9" customHeight="1" x14ac:dyDescent="0.35">
      <c r="A3" s="36" t="s">
        <v>5</v>
      </c>
      <c r="B3" s="54">
        <v>301455814</v>
      </c>
      <c r="C3" s="55"/>
      <c r="D3" s="56"/>
      <c r="E3" s="47"/>
      <c r="F3" s="48"/>
      <c r="G3" s="48"/>
    </row>
    <row r="4" spans="1:9" ht="24.9" customHeight="1" thickBot="1" x14ac:dyDescent="0.4">
      <c r="A4" s="36" t="s">
        <v>4</v>
      </c>
      <c r="B4" s="57" t="s">
        <v>19</v>
      </c>
      <c r="C4" s="43"/>
      <c r="D4" s="44"/>
      <c r="E4" s="47"/>
      <c r="F4" s="48"/>
      <c r="G4" s="48"/>
    </row>
    <row r="5" spans="1:9" ht="59.4" customHeight="1" thickBot="1" x14ac:dyDescent="0.4">
      <c r="A5" s="37" t="s">
        <v>10</v>
      </c>
      <c r="B5" s="42">
        <v>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20</v>
      </c>
      <c r="D7" s="38" t="s">
        <v>23</v>
      </c>
      <c r="E7" s="20">
        <v>0.76041666666666663</v>
      </c>
      <c r="F7" s="33"/>
      <c r="G7" s="15" t="s">
        <v>24</v>
      </c>
      <c r="H7" s="11" t="e">
        <f t="shared" ref="H7" si="0">(E7-D7)*24</f>
        <v>#VALUE!</v>
      </c>
      <c r="I7" s="9"/>
    </row>
    <row r="8" spans="1:9" ht="24.9" customHeight="1" x14ac:dyDescent="0.45">
      <c r="A8" s="31"/>
      <c r="B8" s="13">
        <v>5814</v>
      </c>
      <c r="C8" s="21" t="s">
        <v>21</v>
      </c>
      <c r="D8" s="19">
        <v>0.55208333333333337</v>
      </c>
      <c r="E8" s="22">
        <v>0.59375</v>
      </c>
      <c r="F8" s="34"/>
      <c r="G8" s="16" t="s">
        <v>25</v>
      </c>
      <c r="H8" s="26">
        <f>(E8-D8)*24</f>
        <v>0.99999999999999911</v>
      </c>
    </row>
    <row r="9" spans="1:9" ht="24.9" customHeight="1" x14ac:dyDescent="0.45">
      <c r="A9" s="31"/>
      <c r="B9" s="13">
        <v>5814</v>
      </c>
      <c r="C9" s="21" t="s">
        <v>22</v>
      </c>
      <c r="D9" s="19">
        <v>0.58333333333333337</v>
      </c>
      <c r="E9" s="22">
        <v>0.60416666666666663</v>
      </c>
      <c r="F9" s="34"/>
      <c r="G9" s="16" t="s">
        <v>26</v>
      </c>
      <c r="H9" s="26">
        <f t="shared" ref="H9:H72" si="1">(E9-D9)*24</f>
        <v>0.49999999999999822</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t="e">
        <f>SUM(H7:H79)</f>
        <v>#VALUE!</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85" zoomScaleNormal="85" workbookViewId="0">
      <selection activeCell="B7" sqref="B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17</v>
      </c>
      <c r="B1" s="40"/>
      <c r="C1" s="40"/>
      <c r="D1" s="40"/>
      <c r="E1" s="40"/>
      <c r="F1" s="40"/>
      <c r="G1" s="40"/>
      <c r="H1" s="41"/>
    </row>
    <row r="2" spans="1:9" ht="24.9" customHeight="1" x14ac:dyDescent="0.35">
      <c r="A2" s="36" t="s">
        <v>6</v>
      </c>
      <c r="B2" s="51" t="s">
        <v>18</v>
      </c>
      <c r="C2" s="52"/>
      <c r="D2" s="53"/>
      <c r="E2" s="45" t="s">
        <v>12</v>
      </c>
      <c r="F2" s="46"/>
      <c r="G2" s="46"/>
    </row>
    <row r="3" spans="1:9" ht="24.9" customHeight="1" x14ac:dyDescent="0.35">
      <c r="A3" s="36" t="s">
        <v>5</v>
      </c>
      <c r="B3" s="54">
        <v>301455814</v>
      </c>
      <c r="C3" s="55"/>
      <c r="D3" s="56"/>
      <c r="E3" s="47"/>
      <c r="F3" s="48"/>
      <c r="G3" s="48"/>
    </row>
    <row r="4" spans="1:9" ht="24.9" customHeight="1" thickBot="1" x14ac:dyDescent="0.4">
      <c r="A4" s="36" t="s">
        <v>4</v>
      </c>
      <c r="B4" s="57" t="s">
        <v>19</v>
      </c>
      <c r="C4" s="43"/>
      <c r="D4" s="44"/>
      <c r="E4" s="47"/>
      <c r="F4" s="48"/>
      <c r="G4" s="48"/>
    </row>
    <row r="5" spans="1:9" ht="59.4" customHeight="1" thickBot="1" x14ac:dyDescent="0.4">
      <c r="A5" s="37" t="s">
        <v>10</v>
      </c>
      <c r="B5" s="42">
        <v>0.45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27</v>
      </c>
      <c r="D7" s="19">
        <v>0.64583333333333337</v>
      </c>
      <c r="E7" s="20">
        <v>0.6875</v>
      </c>
      <c r="F7" s="33"/>
      <c r="G7" s="15" t="s">
        <v>31</v>
      </c>
      <c r="H7" s="11">
        <f t="shared" ref="H7" si="0">(E7-D7)*24</f>
        <v>0.99999999999999911</v>
      </c>
      <c r="I7" s="9"/>
    </row>
    <row r="8" spans="1:9" ht="24.9" customHeight="1" x14ac:dyDescent="0.45">
      <c r="A8" s="31"/>
      <c r="B8" s="13">
        <v>5814</v>
      </c>
      <c r="C8" s="21" t="s">
        <v>28</v>
      </c>
      <c r="D8" s="19">
        <v>0.6875</v>
      </c>
      <c r="E8" s="22">
        <v>0.77083333333333337</v>
      </c>
      <c r="F8" s="34"/>
      <c r="G8" s="16" t="s">
        <v>34</v>
      </c>
      <c r="H8" s="26">
        <f>(E8-D8)*24</f>
        <v>2.0000000000000009</v>
      </c>
    </row>
    <row r="9" spans="1:9" ht="24.9" customHeight="1" x14ac:dyDescent="0.45">
      <c r="A9" s="31"/>
      <c r="B9" s="13">
        <v>5814</v>
      </c>
      <c r="C9" s="21" t="s">
        <v>29</v>
      </c>
      <c r="D9" s="19">
        <v>0.72916666666666663</v>
      </c>
      <c r="E9" s="22">
        <v>0.75</v>
      </c>
      <c r="F9" s="34"/>
      <c r="G9" s="16" t="s">
        <v>32</v>
      </c>
      <c r="H9" s="26">
        <f t="shared" ref="H9:H72" si="1">(E9-D9)*24</f>
        <v>0.50000000000000089</v>
      </c>
    </row>
    <row r="10" spans="1:9" ht="24.9" customHeight="1" x14ac:dyDescent="0.45">
      <c r="A10" s="31"/>
      <c r="B10" s="13">
        <v>5814</v>
      </c>
      <c r="C10" s="21" t="s">
        <v>29</v>
      </c>
      <c r="D10" s="19">
        <v>0.73958333333333337</v>
      </c>
      <c r="E10" s="22">
        <v>0.78125</v>
      </c>
      <c r="F10" s="34"/>
      <c r="G10" s="16" t="s">
        <v>33</v>
      </c>
      <c r="H10" s="26">
        <f t="shared" si="1"/>
        <v>0.99999999999999911</v>
      </c>
    </row>
    <row r="11" spans="1:9" ht="24.9" customHeight="1" x14ac:dyDescent="0.45">
      <c r="A11" s="31"/>
      <c r="B11" s="13">
        <v>5814</v>
      </c>
      <c r="C11" s="21" t="s">
        <v>29</v>
      </c>
      <c r="D11" s="19">
        <v>0.78125</v>
      </c>
      <c r="E11" s="22">
        <v>0.88541666666666663</v>
      </c>
      <c r="F11" s="34"/>
      <c r="G11" s="16" t="s">
        <v>35</v>
      </c>
      <c r="H11" s="26">
        <f t="shared" si="1"/>
        <v>2.4999999999999991</v>
      </c>
    </row>
    <row r="12" spans="1:9" ht="24.9" customHeight="1" x14ac:dyDescent="0.45">
      <c r="A12" s="31"/>
      <c r="B12" s="13">
        <v>5814</v>
      </c>
      <c r="C12" s="21" t="s">
        <v>30</v>
      </c>
      <c r="D12" s="19">
        <v>0.58333333333333337</v>
      </c>
      <c r="E12" s="22">
        <v>0.66666666666666663</v>
      </c>
      <c r="F12" s="34"/>
      <c r="G12" s="16" t="s">
        <v>36</v>
      </c>
      <c r="H12" s="26">
        <f t="shared" si="1"/>
        <v>1.9999999999999982</v>
      </c>
    </row>
    <row r="13" spans="1:9" ht="24.9" customHeight="1" x14ac:dyDescent="0.45">
      <c r="A13" s="31"/>
      <c r="B13" s="13">
        <v>5814</v>
      </c>
      <c r="C13" s="21" t="s">
        <v>30</v>
      </c>
      <c r="D13" s="19">
        <v>0.71875</v>
      </c>
      <c r="E13" s="22">
        <v>0.77083333333333337</v>
      </c>
      <c r="F13" s="34"/>
      <c r="G13" s="16" t="s">
        <v>37</v>
      </c>
      <c r="H13" s="26">
        <f t="shared" si="1"/>
        <v>1.2500000000000009</v>
      </c>
    </row>
    <row r="14" spans="1:9" ht="24.9" customHeight="1" x14ac:dyDescent="0.45">
      <c r="A14" s="31"/>
      <c r="B14" s="13">
        <v>5814</v>
      </c>
      <c r="C14" s="21" t="s">
        <v>30</v>
      </c>
      <c r="D14" s="19">
        <v>0.77083333333333337</v>
      </c>
      <c r="E14" s="22">
        <v>0.80208333333333337</v>
      </c>
      <c r="F14" s="34"/>
      <c r="G14" s="16" t="s">
        <v>38</v>
      </c>
      <c r="H14" s="26">
        <f t="shared" si="1"/>
        <v>0.75</v>
      </c>
    </row>
    <row r="15" spans="1:9" ht="24.9" customHeight="1" x14ac:dyDescent="0.45">
      <c r="A15" s="31"/>
      <c r="B15" s="13">
        <v>5814</v>
      </c>
      <c r="C15" s="21" t="s">
        <v>39</v>
      </c>
      <c r="D15" s="19">
        <v>0.65625</v>
      </c>
      <c r="E15" s="22">
        <v>0.69791666666666663</v>
      </c>
      <c r="F15" s="34"/>
      <c r="G15" s="16" t="s">
        <v>40</v>
      </c>
      <c r="H15" s="26">
        <f t="shared" si="1"/>
        <v>0.99999999999999911</v>
      </c>
    </row>
    <row r="16" spans="1:9" ht="24.9" customHeight="1" x14ac:dyDescent="0.45">
      <c r="A16" s="31"/>
      <c r="B16" s="13">
        <v>5814</v>
      </c>
      <c r="C16" s="21" t="s">
        <v>39</v>
      </c>
      <c r="D16" s="19">
        <v>0.70833333333333337</v>
      </c>
      <c r="E16" s="22">
        <v>0.79166666666666663</v>
      </c>
      <c r="F16" s="34"/>
      <c r="G16" s="16" t="s">
        <v>41</v>
      </c>
      <c r="H16" s="26">
        <f t="shared" si="1"/>
        <v>1.9999999999999982</v>
      </c>
    </row>
    <row r="17" spans="1:8" ht="24.9" customHeight="1" x14ac:dyDescent="0.45">
      <c r="A17" s="31"/>
      <c r="B17" s="13">
        <v>5814</v>
      </c>
      <c r="C17" s="21" t="s">
        <v>39</v>
      </c>
      <c r="D17" s="19">
        <v>0.79166666666666663</v>
      </c>
      <c r="E17" s="22">
        <v>0.8125</v>
      </c>
      <c r="F17" s="34"/>
      <c r="G17" s="16" t="s">
        <v>42</v>
      </c>
      <c r="H17" s="26">
        <f t="shared" si="1"/>
        <v>0.50000000000000089</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14.499999999999996</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phoneticPr fontId="14" type="noConversion"/>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B2" sqref="B2:D4"/>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17</v>
      </c>
      <c r="B1" s="40"/>
      <c r="C1" s="40"/>
      <c r="D1" s="40"/>
      <c r="E1" s="40"/>
      <c r="F1" s="40"/>
      <c r="G1" s="40"/>
      <c r="H1" s="41"/>
    </row>
    <row r="2" spans="1:9" ht="24.9" customHeight="1" x14ac:dyDescent="0.35">
      <c r="A2" s="36" t="s">
        <v>6</v>
      </c>
      <c r="B2" s="51" t="s">
        <v>18</v>
      </c>
      <c r="C2" s="52"/>
      <c r="D2" s="53"/>
      <c r="E2" s="45" t="s">
        <v>13</v>
      </c>
      <c r="F2" s="46"/>
      <c r="G2" s="46"/>
    </row>
    <row r="3" spans="1:9" ht="24.9" customHeight="1" x14ac:dyDescent="0.35">
      <c r="A3" s="36" t="s">
        <v>5</v>
      </c>
      <c r="B3" s="54">
        <v>301455814</v>
      </c>
      <c r="C3" s="55"/>
      <c r="D3" s="56"/>
      <c r="E3" s="47"/>
      <c r="F3" s="48"/>
      <c r="G3" s="48"/>
    </row>
    <row r="4" spans="1:9" ht="24.9" customHeight="1" thickBot="1" x14ac:dyDescent="0.4">
      <c r="A4" s="36" t="s">
        <v>4</v>
      </c>
      <c r="B4" s="57" t="s">
        <v>19</v>
      </c>
      <c r="C4" s="43"/>
      <c r="D4" s="44"/>
      <c r="E4" s="47"/>
      <c r="F4" s="48"/>
      <c r="G4" s="48"/>
    </row>
    <row r="5" spans="1:9" ht="59.4" customHeight="1" thickBot="1" x14ac:dyDescent="0.4">
      <c r="A5" s="37" t="s">
        <v>10</v>
      </c>
      <c r="B5" s="42">
        <v>0.5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46</v>
      </c>
      <c r="D7" s="19">
        <v>0.76041666666666663</v>
      </c>
      <c r="E7" s="20">
        <v>0.80208333333333337</v>
      </c>
      <c r="F7" s="33"/>
      <c r="G7" s="15" t="s">
        <v>47</v>
      </c>
      <c r="H7" s="11">
        <f t="shared" ref="H7" si="0">(E7-D7)*24</f>
        <v>1.0000000000000018</v>
      </c>
      <c r="I7" s="9"/>
    </row>
    <row r="8" spans="1:9" ht="24.9" customHeight="1" x14ac:dyDescent="0.45">
      <c r="A8" s="31"/>
      <c r="B8" s="13">
        <v>5814</v>
      </c>
      <c r="C8" s="21" t="s">
        <v>45</v>
      </c>
      <c r="D8" s="19">
        <v>0.48958333333333331</v>
      </c>
      <c r="E8" s="22">
        <v>0.52083333333333337</v>
      </c>
      <c r="F8" s="34"/>
      <c r="G8" s="16" t="s">
        <v>48</v>
      </c>
      <c r="H8" s="26">
        <f>(E8-D8)*24</f>
        <v>0.75000000000000133</v>
      </c>
    </row>
    <row r="9" spans="1:9" ht="24.9" customHeight="1" x14ac:dyDescent="0.45">
      <c r="A9" s="31"/>
      <c r="B9" s="13">
        <v>5814</v>
      </c>
      <c r="C9" s="21" t="s">
        <v>44</v>
      </c>
      <c r="D9" s="19">
        <v>0.6875</v>
      </c>
      <c r="E9" s="22">
        <v>0.79166666666666663</v>
      </c>
      <c r="F9" s="34"/>
      <c r="G9" s="16" t="s">
        <v>49</v>
      </c>
      <c r="H9" s="26">
        <f t="shared" ref="H9:H72" si="1">(E9-D9)*24</f>
        <v>2.4999999999999991</v>
      </c>
    </row>
    <row r="10" spans="1:9" ht="24.9" customHeight="1" x14ac:dyDescent="0.45">
      <c r="A10" s="31"/>
      <c r="B10" s="13">
        <v>5814</v>
      </c>
      <c r="C10" s="21" t="s">
        <v>43</v>
      </c>
      <c r="D10" s="19">
        <v>0.54166666666666663</v>
      </c>
      <c r="E10" s="22">
        <v>0.625</v>
      </c>
      <c r="F10" s="34"/>
      <c r="G10" s="16" t="s">
        <v>50</v>
      </c>
      <c r="H10" s="26">
        <f t="shared" si="1"/>
        <v>2.0000000000000009</v>
      </c>
    </row>
    <row r="11" spans="1:9" ht="24.9" customHeight="1" x14ac:dyDescent="0.45">
      <c r="A11" s="31"/>
      <c r="B11" s="13">
        <v>5814</v>
      </c>
      <c r="C11" s="21" t="s">
        <v>51</v>
      </c>
      <c r="D11" s="19">
        <v>0.64583333333333337</v>
      </c>
      <c r="E11" s="22">
        <v>0.6875</v>
      </c>
      <c r="F11" s="34"/>
      <c r="G11" s="16" t="s">
        <v>52</v>
      </c>
      <c r="H11" s="26">
        <f t="shared" si="1"/>
        <v>0.99999999999999911</v>
      </c>
    </row>
    <row r="12" spans="1:9" ht="24.9" customHeight="1" x14ac:dyDescent="0.45">
      <c r="A12" s="31"/>
      <c r="B12" s="13">
        <v>5814</v>
      </c>
      <c r="C12" s="21" t="s">
        <v>53</v>
      </c>
      <c r="D12" s="19">
        <v>0.63541666666666663</v>
      </c>
      <c r="E12" s="22">
        <v>0.78125</v>
      </c>
      <c r="F12" s="34"/>
      <c r="G12" s="16" t="s">
        <v>54</v>
      </c>
      <c r="H12" s="26">
        <f t="shared" si="1"/>
        <v>3.5000000000000009</v>
      </c>
    </row>
    <row r="13" spans="1:9" ht="24.9" customHeight="1" x14ac:dyDescent="0.45">
      <c r="A13" s="31"/>
      <c r="B13" s="13">
        <v>5814</v>
      </c>
      <c r="C13" s="21" t="s">
        <v>55</v>
      </c>
      <c r="D13" s="19">
        <v>0.59375</v>
      </c>
      <c r="E13" s="22">
        <v>0.6875</v>
      </c>
      <c r="F13" s="34"/>
      <c r="G13" s="16" t="s">
        <v>56</v>
      </c>
      <c r="H13" s="26">
        <f t="shared" si="1"/>
        <v>2.25</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13.000000000000004</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zoomScale="85" zoomScaleNormal="85" workbookViewId="0">
      <selection activeCell="C7" sqref="C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17</v>
      </c>
      <c r="B1" s="40"/>
      <c r="C1" s="40"/>
      <c r="D1" s="40"/>
      <c r="E1" s="40"/>
      <c r="F1" s="40"/>
      <c r="G1" s="40"/>
      <c r="H1" s="41"/>
    </row>
    <row r="2" spans="1:9" ht="24.9" customHeight="1" x14ac:dyDescent="0.35">
      <c r="A2" s="36" t="s">
        <v>6</v>
      </c>
      <c r="B2" s="51" t="s">
        <v>18</v>
      </c>
      <c r="C2" s="52"/>
      <c r="D2" s="53"/>
      <c r="E2" s="45" t="s">
        <v>14</v>
      </c>
      <c r="F2" s="46"/>
      <c r="G2" s="46"/>
    </row>
    <row r="3" spans="1:9" ht="24.9" customHeight="1" x14ac:dyDescent="0.35">
      <c r="A3" s="36" t="s">
        <v>5</v>
      </c>
      <c r="B3" s="54">
        <v>301455814</v>
      </c>
      <c r="C3" s="55"/>
      <c r="D3" s="56"/>
      <c r="E3" s="47"/>
      <c r="F3" s="48"/>
      <c r="G3" s="48"/>
    </row>
    <row r="4" spans="1:9" ht="24.9" customHeight="1" thickBot="1" x14ac:dyDescent="0.4">
      <c r="A4" s="36" t="s">
        <v>4</v>
      </c>
      <c r="B4" s="57" t="s">
        <v>19</v>
      </c>
      <c r="C4" s="43"/>
      <c r="D4" s="44"/>
      <c r="E4" s="47"/>
      <c r="F4" s="48"/>
      <c r="G4" s="48"/>
    </row>
    <row r="5" spans="1:9" ht="59.4" customHeight="1" thickBot="1" x14ac:dyDescent="0.4">
      <c r="A5" s="37" t="s">
        <v>10</v>
      </c>
      <c r="B5" s="42">
        <v>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57</v>
      </c>
      <c r="D7" s="19">
        <v>0.625</v>
      </c>
      <c r="E7" s="20">
        <v>0.70138888888888884</v>
      </c>
      <c r="F7" s="33"/>
      <c r="G7" s="15" t="s">
        <v>58</v>
      </c>
      <c r="H7" s="11">
        <f t="shared" ref="H7" si="0">(E7-D7)*24</f>
        <v>1.8333333333333321</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1.8333333333333321</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zoomScale="85" zoomScaleNormal="85" workbookViewId="0">
      <selection activeCell="B7" sqref="B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17</v>
      </c>
      <c r="B1" s="40"/>
      <c r="C1" s="40"/>
      <c r="D1" s="40"/>
      <c r="E1" s="40"/>
      <c r="F1" s="40"/>
      <c r="G1" s="40"/>
      <c r="H1" s="41"/>
    </row>
    <row r="2" spans="1:9" ht="24.9" customHeight="1" x14ac:dyDescent="0.35">
      <c r="A2" s="36" t="s">
        <v>6</v>
      </c>
      <c r="B2" s="51" t="s">
        <v>18</v>
      </c>
      <c r="C2" s="52"/>
      <c r="D2" s="53"/>
      <c r="E2" s="45" t="s">
        <v>15</v>
      </c>
      <c r="F2" s="46"/>
      <c r="G2" s="46"/>
    </row>
    <row r="3" spans="1:9" ht="24.9" customHeight="1" x14ac:dyDescent="0.35">
      <c r="A3" s="36" t="s">
        <v>5</v>
      </c>
      <c r="B3" s="54">
        <v>301455814</v>
      </c>
      <c r="C3" s="55"/>
      <c r="D3" s="56"/>
      <c r="E3" s="47"/>
      <c r="F3" s="48"/>
      <c r="G3" s="48"/>
    </row>
    <row r="4" spans="1:9" ht="24.9" customHeight="1" thickBot="1" x14ac:dyDescent="0.4">
      <c r="A4" s="36" t="s">
        <v>4</v>
      </c>
      <c r="B4" s="57" t="s">
        <v>19</v>
      </c>
      <c r="C4" s="43"/>
      <c r="D4" s="44"/>
      <c r="E4" s="47"/>
      <c r="F4" s="48"/>
      <c r="G4" s="48"/>
    </row>
    <row r="5" spans="1:9" ht="59.4" customHeight="1" thickBot="1" x14ac:dyDescent="0.4">
      <c r="A5" s="37" t="s">
        <v>10</v>
      </c>
      <c r="B5" s="42">
        <v>0.5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v>45960</v>
      </c>
      <c r="D7" s="19">
        <v>0.70833333333333337</v>
      </c>
      <c r="E7" s="20">
        <v>0.8125</v>
      </c>
      <c r="F7" s="33"/>
      <c r="G7" s="15" t="s">
        <v>59</v>
      </c>
      <c r="H7" s="11">
        <f t="shared" ref="H7" si="0">(E7-D7)*24</f>
        <v>2.4999999999999991</v>
      </c>
      <c r="I7" s="9"/>
    </row>
    <row r="8" spans="1:9" ht="24.9" customHeight="1" x14ac:dyDescent="0.45">
      <c r="A8" s="31"/>
      <c r="B8" s="13">
        <v>5814</v>
      </c>
      <c r="C8" s="21">
        <v>45961</v>
      </c>
      <c r="D8" s="19">
        <v>0.66666666666666663</v>
      </c>
      <c r="E8" s="22">
        <v>0.79166666666666663</v>
      </c>
      <c r="F8" s="34"/>
      <c r="G8" s="16" t="s">
        <v>62</v>
      </c>
      <c r="H8" s="26">
        <f>(E8-D8)*24</f>
        <v>3</v>
      </c>
    </row>
    <row r="9" spans="1:9" ht="24.9" customHeight="1" x14ac:dyDescent="0.45">
      <c r="A9" s="31"/>
      <c r="B9" s="13">
        <v>5814</v>
      </c>
      <c r="C9" s="21">
        <v>45965</v>
      </c>
      <c r="D9" s="19">
        <v>0.66666666666666663</v>
      </c>
      <c r="E9" s="22">
        <v>0.8125</v>
      </c>
      <c r="F9" s="34"/>
      <c r="G9" s="16" t="s">
        <v>60</v>
      </c>
      <c r="H9" s="26">
        <f>(E9-D9)*24</f>
        <v>3.5000000000000009</v>
      </c>
    </row>
    <row r="10" spans="1:9" ht="24.9" customHeight="1" x14ac:dyDescent="0.45">
      <c r="A10" s="31"/>
      <c r="B10" s="13">
        <v>5814</v>
      </c>
      <c r="C10" s="21">
        <v>45972</v>
      </c>
      <c r="D10" s="19">
        <v>0.66666666666666663</v>
      </c>
      <c r="E10" s="22">
        <v>0.75</v>
      </c>
      <c r="F10" s="34"/>
      <c r="G10" s="16" t="s">
        <v>61</v>
      </c>
      <c r="H10" s="26">
        <f>(E10-D10)*24</f>
        <v>2.0000000000000009</v>
      </c>
    </row>
    <row r="11" spans="1:9" ht="24.9" customHeight="1" x14ac:dyDescent="0.45">
      <c r="A11" s="31"/>
      <c r="B11" s="13">
        <v>5814</v>
      </c>
      <c r="C11" s="21">
        <v>45973</v>
      </c>
      <c r="D11" s="19">
        <v>0.625</v>
      </c>
      <c r="E11" s="22">
        <v>0.6875</v>
      </c>
      <c r="F11" s="34"/>
      <c r="G11" s="16" t="s">
        <v>61</v>
      </c>
      <c r="H11" s="26">
        <f>(E11-D11)*24</f>
        <v>1.5</v>
      </c>
    </row>
    <row r="12" spans="1:9" ht="24.9" customHeight="1" x14ac:dyDescent="0.45">
      <c r="A12" s="31"/>
      <c r="B12" s="13">
        <v>5814</v>
      </c>
      <c r="C12" s="21">
        <v>45973</v>
      </c>
      <c r="D12" s="19">
        <v>0.6875</v>
      </c>
      <c r="E12" s="22">
        <v>0.72916666666666663</v>
      </c>
      <c r="F12" s="34"/>
      <c r="G12" s="16" t="s">
        <v>63</v>
      </c>
      <c r="H12" s="26">
        <f t="shared" ref="H12:H72" si="1">(E12-D12)*24</f>
        <v>0.99999999999999911</v>
      </c>
    </row>
    <row r="13" spans="1:9" ht="24.9" customHeight="1" x14ac:dyDescent="0.45">
      <c r="A13" s="31"/>
      <c r="B13" s="13">
        <v>5814</v>
      </c>
      <c r="C13" s="21">
        <v>45973</v>
      </c>
      <c r="D13" s="19">
        <v>0.72916666666666663</v>
      </c>
      <c r="E13" s="22">
        <v>0.8125</v>
      </c>
      <c r="F13" s="34"/>
      <c r="G13" s="16" t="s">
        <v>64</v>
      </c>
      <c r="H13" s="26">
        <f t="shared" si="1"/>
        <v>2.0000000000000009</v>
      </c>
    </row>
    <row r="14" spans="1:9" ht="24.9" customHeight="1" x14ac:dyDescent="0.45">
      <c r="A14" s="31"/>
      <c r="B14" s="13">
        <v>5814</v>
      </c>
      <c r="C14" s="21">
        <v>45974</v>
      </c>
      <c r="D14" s="19">
        <v>0.625</v>
      </c>
      <c r="E14" s="22">
        <v>0.79166666666666663</v>
      </c>
      <c r="F14" s="34"/>
      <c r="G14" s="16" t="s">
        <v>65</v>
      </c>
      <c r="H14" s="26">
        <f t="shared" si="1"/>
        <v>3.9999999999999991</v>
      </c>
    </row>
    <row r="15" spans="1:9" ht="24.9" customHeight="1" x14ac:dyDescent="0.45">
      <c r="A15" s="31"/>
      <c r="B15" s="13">
        <v>5814</v>
      </c>
      <c r="C15" s="21">
        <v>45976</v>
      </c>
      <c r="D15" s="19">
        <v>0.64583333333333337</v>
      </c>
      <c r="E15" s="22">
        <v>0.85416666666666663</v>
      </c>
      <c r="F15" s="34"/>
      <c r="G15" s="16" t="s">
        <v>66</v>
      </c>
      <c r="H15" s="26">
        <f t="shared" si="1"/>
        <v>4.9999999999999982</v>
      </c>
    </row>
    <row r="16" spans="1:9" ht="24.9" customHeight="1" x14ac:dyDescent="0.45">
      <c r="A16" s="31"/>
      <c r="B16" s="13">
        <v>5814</v>
      </c>
      <c r="C16" s="21">
        <v>45976</v>
      </c>
      <c r="D16" s="19">
        <v>0.58333333333333337</v>
      </c>
      <c r="E16" s="22">
        <v>0.85416666666666663</v>
      </c>
      <c r="F16" s="34"/>
      <c r="G16" s="16" t="s">
        <v>67</v>
      </c>
      <c r="H16" s="26">
        <f t="shared" si="1"/>
        <v>6.4999999999999982</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31</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tabSelected="1" topLeftCell="A3" zoomScale="85" zoomScaleNormal="85" workbookViewId="0">
      <selection activeCell="D14" sqref="D14"/>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17</v>
      </c>
      <c r="B1" s="40"/>
      <c r="C1" s="40"/>
      <c r="D1" s="40"/>
      <c r="E1" s="40"/>
      <c r="F1" s="40"/>
      <c r="G1" s="40"/>
      <c r="H1" s="41"/>
    </row>
    <row r="2" spans="1:9" ht="24.9" customHeight="1" x14ac:dyDescent="0.35">
      <c r="A2" s="36" t="s">
        <v>6</v>
      </c>
      <c r="B2" s="51" t="s">
        <v>18</v>
      </c>
      <c r="C2" s="52"/>
      <c r="D2" s="53"/>
      <c r="E2" s="45" t="s">
        <v>16</v>
      </c>
      <c r="F2" s="46"/>
      <c r="G2" s="46"/>
    </row>
    <row r="3" spans="1:9" ht="24.9" customHeight="1" x14ac:dyDescent="0.35">
      <c r="A3" s="36" t="s">
        <v>5</v>
      </c>
      <c r="B3" s="54">
        <v>301455814</v>
      </c>
      <c r="C3" s="55"/>
      <c r="D3" s="56"/>
      <c r="E3" s="47"/>
      <c r="F3" s="48"/>
      <c r="G3" s="48"/>
    </row>
    <row r="4" spans="1:9" ht="24.9" customHeight="1" thickBot="1" x14ac:dyDescent="0.4">
      <c r="A4" s="36" t="s">
        <v>4</v>
      </c>
      <c r="B4" s="57" t="s">
        <v>19</v>
      </c>
      <c r="C4" s="43"/>
      <c r="D4" s="44"/>
      <c r="E4" s="47"/>
      <c r="F4" s="48"/>
      <c r="G4" s="48"/>
    </row>
    <row r="5" spans="1:9" ht="59.4" customHeight="1" thickBot="1" x14ac:dyDescent="0.4">
      <c r="A5" s="37" t="s">
        <v>10</v>
      </c>
      <c r="B5" s="42">
        <v>0.6</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v>45988</v>
      </c>
      <c r="D7" s="19">
        <v>0.64583333333333337</v>
      </c>
      <c r="E7" s="20">
        <v>0.75</v>
      </c>
      <c r="F7" s="33"/>
      <c r="G7" s="15" t="s">
        <v>68</v>
      </c>
      <c r="H7" s="11">
        <f t="shared" ref="H7" si="0">(E7-D7)*24</f>
        <v>2.4999999999999991</v>
      </c>
      <c r="I7" s="9"/>
    </row>
    <row r="8" spans="1:9" ht="24.9" customHeight="1" x14ac:dyDescent="0.45">
      <c r="A8" s="31"/>
      <c r="B8" s="13">
        <v>5814</v>
      </c>
      <c r="C8" s="21">
        <v>45990</v>
      </c>
      <c r="D8" s="19">
        <v>0.6875</v>
      </c>
      <c r="E8" s="22">
        <v>0.91666666666666663</v>
      </c>
      <c r="F8" s="34"/>
      <c r="G8" s="16" t="s">
        <v>69</v>
      </c>
      <c r="H8" s="26">
        <f>(E8-D8)*24</f>
        <v>5.4999999999999991</v>
      </c>
    </row>
    <row r="9" spans="1:9" ht="24.9" customHeight="1" x14ac:dyDescent="0.45">
      <c r="A9" s="31"/>
      <c r="B9" s="13">
        <v>5814</v>
      </c>
      <c r="C9" s="21">
        <v>45991</v>
      </c>
      <c r="D9" s="19">
        <v>0.60416666666666663</v>
      </c>
      <c r="E9" s="22">
        <v>0.72916666666666663</v>
      </c>
      <c r="F9" s="34"/>
      <c r="G9" s="16" t="s">
        <v>70</v>
      </c>
      <c r="H9" s="26">
        <f t="shared" ref="H9:H72" si="1">(E9-D9)*24</f>
        <v>3</v>
      </c>
    </row>
    <row r="10" spans="1:9" ht="24.9" customHeight="1" x14ac:dyDescent="0.45">
      <c r="A10" s="31"/>
      <c r="B10" s="13">
        <v>5814</v>
      </c>
      <c r="C10" s="21">
        <v>45991</v>
      </c>
      <c r="D10" s="19">
        <v>0.79166666666666663</v>
      </c>
      <c r="E10" s="22">
        <v>0.97916666666666663</v>
      </c>
      <c r="F10" s="34"/>
      <c r="G10" s="16" t="s">
        <v>71</v>
      </c>
      <c r="H10" s="26">
        <f t="shared" si="1"/>
        <v>4.5</v>
      </c>
    </row>
    <row r="11" spans="1:9" ht="24.9" customHeight="1" x14ac:dyDescent="0.45">
      <c r="A11" s="31"/>
      <c r="B11" s="13">
        <v>5814</v>
      </c>
      <c r="C11" s="21">
        <v>45993</v>
      </c>
      <c r="D11" s="19">
        <v>0.75</v>
      </c>
      <c r="E11" s="22">
        <v>0.99652777777777779</v>
      </c>
      <c r="F11" s="34"/>
      <c r="G11" s="16" t="s">
        <v>72</v>
      </c>
      <c r="H11" s="26">
        <f t="shared" si="1"/>
        <v>5.916666666666667</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21.416666666666664</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Amytis Saghafi</cp:lastModifiedBy>
  <dcterms:created xsi:type="dcterms:W3CDTF">2020-03-26T16:58:46Z</dcterms:created>
  <dcterms:modified xsi:type="dcterms:W3CDTF">2025-12-03T07:47:21Z</dcterms:modified>
</cp:coreProperties>
</file>