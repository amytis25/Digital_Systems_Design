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8_{CACE8BEB-024A-4653-AA14-6813A45756F5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5760" yWindow="3276" windowWidth="17280" windowHeight="8964" activeTab="2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<sst xmlns="http://schemas.openxmlformats.org/spreadsheetml/2006/main" count="107" uniqueCount="34">
  <si>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</si>
  <si>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</si>
  <si>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</si>
  <si>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</si>
  <si>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</si>
  <si>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</si>
  <si>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</si>
  <si>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</si>
  <si>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</si>
  <si>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</si>
  <si>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</si>
  <si>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</si>
  <si>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</si>
  <si>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</si>
  <si>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</si>
  <si>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</si>
  <si>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</si>
  <si>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</si>
  <si>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</si>
  <si>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</si>
  <si>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Simon Schaufele</t>
  </si>
  <si>
    <t>G12</t>
  </si>
  <si>
    <t>wrote the CondSum Adder and a first iteration of our testbench for modelsim</t>
  </si>
  <si>
    <t>Helped write baseline adder with amytis and finished FastRipple architecture</t>
  </si>
  <si>
    <t>Re-wrote CondSum architecture to reflect it's recursive nature and compiled all candidates in quartus</t>
  </si>
  <si>
    <t>debugged and Compiled first iteration of test bench on modelsim. Read documents to understand how to read vectors from a .tvs file</t>
  </si>
  <si>
    <t>helped write, debugged and compiled TB_Adder_CSA and TB_Adder_RIP to be able to take test vectors from a .tvs file</t>
  </si>
  <si>
    <t>worked on making the test vector file a lot of debugging to get the test benches to find the file and ignore lines that use comments</t>
  </si>
  <si>
    <t>worked on the report specifically the design candidate sections and the experimental procedures</t>
  </si>
  <si>
    <t>drew design candidate circuit diagrams edited design candidate paragraphs</t>
  </si>
  <si>
    <t>worked on R&amp;D summary report</t>
  </si>
  <si>
    <t>wrote cost comparison and analysis of all design candidates</t>
  </si>
  <si>
    <t>read over other sections of the report made multiple edits</t>
  </si>
  <si>
    <t>final read over and minor 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</si>
</sst>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zoomScale="85" zoomScaleNormal="85" workbookViewId="0">
      <selection activeCell="B4" sqref="B4:D4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13</v>
      </c>
      <c r="F2" s="45"/>
      <c r="G2" s="45"/>
    </row>
    <row r="3" spans="1:9" ht="24.9" customHeight="1" x14ac:dyDescent="0.3">
      <c r="A3" s="36" t="s">
        <v>5</v>
      </c>
      <c r="B3" s="53">
        <v>301454255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21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>
        <v>0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topLeftCell="C14" zoomScale="85" zoomScaleNormal="85" workbookViewId="0">
      <selection activeCell="G15" sqref="G15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14</v>
      </c>
      <c r="F2" s="45"/>
      <c r="G2" s="45"/>
    </row>
    <row r="3" spans="1:9" ht="24.9" customHeight="1" x14ac:dyDescent="0.3">
      <c r="A3" s="36" t="s">
        <v>5</v>
      </c>
      <c r="B3" s="53">
        <v>301454255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21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>
        <v>0.4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4255</v>
      </c>
      <c r="C7" s="18">
        <v>45937</v>
      </c>
      <c r="D7" s="19">
        <v>0.625</v>
      </c>
      <c r="E7" s="20">
        <v>0.68402777777777779</v>
      </c>
      <c r="F7" s="33"/>
      <c r="G7" s="15" t="s">
        <v>23</v>
      </c>
      <c r="H7" s="11">
        <f t="shared" ref="H7" si="0">(E7-D7)*24</f>
        <v>1.416666666666667</v>
      </c>
      <c r="I7" s="9"/>
    </row>
    <row r="8" spans="1:9" ht="24.9" customHeight="1" x14ac:dyDescent="0.35">
      <c r="A8" s="31"/>
      <c r="B8" s="13">
        <v>4255</v>
      </c>
      <c r="C8" s="21">
        <v>45937</v>
      </c>
      <c r="D8" s="19">
        <v>0.6875</v>
      </c>
      <c r="E8" s="22">
        <v>0.72916666666666663</v>
      </c>
      <c r="F8" s="34"/>
      <c r="G8" s="16" t="s">
        <v>22</v>
      </c>
      <c r="H8" s="26">
        <f>(E8-D8)*24</f>
        <v>0.99999999999999911</v>
      </c>
    </row>
    <row r="9" spans="1:9" ht="24.9" customHeight="1" x14ac:dyDescent="0.35">
      <c r="A9" s="31"/>
      <c r="B9" s="13">
        <v>4255</v>
      </c>
      <c r="C9" s="21">
        <v>45938</v>
      </c>
      <c r="D9" s="19">
        <v>0.6875</v>
      </c>
      <c r="E9" s="22">
        <v>0.77083333333333337</v>
      </c>
      <c r="F9" s="34"/>
      <c r="G9" s="16" t="s">
        <v>24</v>
      </c>
      <c r="H9" s="26">
        <f t="shared" ref="H9:H72" si="1">(E9-D9)*24</f>
        <v>2.0000000000000009</v>
      </c>
    </row>
    <row r="10" spans="1:9" ht="24.9" customHeight="1" x14ac:dyDescent="0.35">
      <c r="A10" s="31"/>
      <c r="B10" s="13">
        <v>4255</v>
      </c>
      <c r="C10" s="21">
        <v>45938</v>
      </c>
      <c r="D10" s="19">
        <v>0.77083333333333337</v>
      </c>
      <c r="E10" s="22">
        <v>0.8125</v>
      </c>
      <c r="F10" s="34"/>
      <c r="G10" s="16" t="s">
        <v>25</v>
      </c>
      <c r="H10" s="26">
        <f t="shared" si="1"/>
        <v>0.99999999999999911</v>
      </c>
    </row>
    <row r="11" spans="1:9" ht="24.9" customHeight="1" x14ac:dyDescent="0.35">
      <c r="A11" s="31"/>
      <c r="B11" s="13">
        <v>4255</v>
      </c>
      <c r="C11" s="21">
        <v>45940</v>
      </c>
      <c r="D11" s="19">
        <v>0.6875</v>
      </c>
      <c r="E11" s="22">
        <v>0.77083333333333337</v>
      </c>
      <c r="F11" s="34"/>
      <c r="G11" s="16" t="s">
        <v>26</v>
      </c>
      <c r="H11" s="26">
        <f t="shared" si="1"/>
        <v>2.0000000000000009</v>
      </c>
    </row>
    <row r="12" spans="1:9" ht="24.9" customHeight="1" x14ac:dyDescent="0.35">
      <c r="A12" s="31"/>
      <c r="B12" s="13">
        <v>4255</v>
      </c>
      <c r="C12" s="21">
        <v>45940</v>
      </c>
      <c r="D12" s="19">
        <v>0.77083333333333337</v>
      </c>
      <c r="E12" s="22">
        <v>0.875</v>
      </c>
      <c r="F12" s="34"/>
      <c r="G12" s="16" t="s">
        <v>27</v>
      </c>
      <c r="H12" s="26">
        <f t="shared" si="1"/>
        <v>2.4999999999999991</v>
      </c>
    </row>
    <row r="13" spans="1:9" ht="24.9" customHeight="1" x14ac:dyDescent="0.35">
      <c r="A13" s="31"/>
      <c r="B13" s="13">
        <v>4255</v>
      </c>
      <c r="C13" s="21">
        <v>45941</v>
      </c>
      <c r="D13" s="19">
        <v>0.83333333333333337</v>
      </c>
      <c r="E13" s="22">
        <v>0.89583333333333337</v>
      </c>
      <c r="F13" s="34"/>
      <c r="G13" s="16" t="s">
        <v>28</v>
      </c>
      <c r="H13" s="26">
        <f t="shared" si="1"/>
        <v>1.5</v>
      </c>
    </row>
    <row r="14" spans="1:9" ht="24.9" customHeight="1" x14ac:dyDescent="0.35">
      <c r="A14" s="31"/>
      <c r="B14" s="13">
        <v>4255</v>
      </c>
      <c r="C14" s="21">
        <v>45942</v>
      </c>
      <c r="D14" s="19">
        <v>0.5</v>
      </c>
      <c r="E14" s="22">
        <v>0.58333333333333337</v>
      </c>
      <c r="F14" s="34"/>
      <c r="G14" s="16" t="s">
        <v>29</v>
      </c>
      <c r="H14" s="26">
        <f t="shared" si="1"/>
        <v>2.0000000000000009</v>
      </c>
    </row>
    <row r="15" spans="1:9" ht="24.9" customHeight="1" x14ac:dyDescent="0.35">
      <c r="A15" s="31"/>
      <c r="B15" s="13">
        <v>4255</v>
      </c>
      <c r="C15" s="21">
        <v>45942</v>
      </c>
      <c r="D15" s="19">
        <v>0.80902777777777779</v>
      </c>
      <c r="E15" s="22"/>
      <c r="F15" s="34"/>
      <c r="G15" s="16" t="s">
        <v>30</v>
      </c>
      <c r="H15" s="26">
        <f t="shared" si="1"/>
        <v>-19.416666666666668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-6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tabSelected="1" topLeftCell="G2" zoomScale="85" zoomScaleNormal="85" workbookViewId="0">
      <selection activeCell="G10" sqref="G10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15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21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>
        <v>0.3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4255</v>
      </c>
      <c r="C7" s="18">
        <v>45948</v>
      </c>
      <c r="D7" s="19">
        <v>0.54166666666666663</v>
      </c>
      <c r="E7" s="20">
        <v>0.60416666666666663</v>
      </c>
      <c r="F7" s="33"/>
      <c r="G7" s="15" t="s">
        <v>31</v>
      </c>
      <c r="H7" s="11">
        <f t="shared" ref="H7" si="0">(E7-D7)*24</f>
        <v>1.5</v>
      </c>
      <c r="I7" s="9"/>
    </row>
    <row r="8" spans="1:9" ht="24.9" customHeight="1" x14ac:dyDescent="0.35">
      <c r="A8" s="31"/>
      <c r="B8" s="13">
        <v>4255</v>
      </c>
      <c r="C8" s="21">
        <v>45948</v>
      </c>
      <c r="D8" s="19">
        <v>0.60416666666666663</v>
      </c>
      <c r="E8" s="22">
        <v>0.64583333333333337</v>
      </c>
      <c r="F8" s="34"/>
      <c r="G8" s="16" t="s">
        <v>32</v>
      </c>
      <c r="H8" s="26">
        <f>(E8-D8)*24</f>
        <v>1.0000000000000018</v>
      </c>
    </row>
    <row r="9" spans="1:9" ht="24.9" customHeight="1" x14ac:dyDescent="0.35">
      <c r="A9" s="31"/>
      <c r="B9" s="13">
        <v>4255</v>
      </c>
      <c r="C9" s="21">
        <v>45949</v>
      </c>
      <c r="D9" s="19">
        <v>0.58333333333333337</v>
      </c>
      <c r="E9" s="22">
        <v>0.60416666666666663</v>
      </c>
      <c r="F9" s="34"/>
      <c r="G9" s="16" t="s">
        <v>33</v>
      </c>
      <c r="H9" s="26">
        <f t="shared" ref="H9:H72" si="1">(E9-D9)*24</f>
        <v>0.49999999999999822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3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16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17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18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Simon Schaufele</cp:lastModifiedBy>
  <dcterms:created xsi:type="dcterms:W3CDTF">2020-03-26T16:58:46Z</dcterms:created>
  <dcterms:modified xsi:type="dcterms:W3CDTF">2025-10-19T21:02:29Z</dcterms:modified>
</cp:coreProperties>
</file>