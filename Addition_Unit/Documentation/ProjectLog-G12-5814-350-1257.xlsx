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dafb57772ce9388/Desktop/SFU/2025/FALL 2025/ENSC350/Github/ENSC-350/DP2/submissions/DP2.1/DP2-G12-350-1257/DP2/Documentation/"/>
    </mc:Choice>
  </mc:AlternateContent>
  <xr:revisionPtr revIDLastSave="73" documentId="13_ncr:1_{4D841EB5-DA9E-444C-B93D-022240CF7637}" xr6:coauthVersionLast="47" xr6:coauthVersionMax="47" xr10:uidLastSave="{625AF2C6-AC0D-4FED-8C63-C0E0BFFDC005}"/>
  <workbookProtection workbookAlgorithmName="SHA-512" workbookHashValue="uphip+fyQmgTbQWVslgKndYGTCUT2nMCnU8pTyuiPxh9t3MkaNQeLeeV1eDZUH8uYM8JtsIZJzZApwnnbRUEcA==" workbookSaltValue="PVE5+bPUyqyV9jE5EaqSxw==" workbookSpinCount="100000" lockStructure="1"/>
  <bookViews>
    <workbookView xWindow="12280" yWindow="2450" windowWidth="23890" windowHeight="15370" activeTab="4"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80" i="11" s="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0" l="1"/>
  <c r="H80" i="9"/>
  <c r="H80" i="7"/>
  <c r="H80" i="6"/>
  <c r="H80" i="5"/>
</calcChain>
</file>

<file path=xl/sharedStrings.xml><?xml version="1.0" encoding="utf-8"?>
<sst xmlns="http://schemas.openxmlformats.org/spreadsheetml/2006/main" count="152" uniqueCount="69">
  <si>
    <t>last  4 digits</t>
  </si>
  <si>
    <t>date</t>
  </si>
  <si>
    <t>starttime</t>
  </si>
  <si>
    <t>endtime</t>
  </si>
  <si>
    <t>Group Number:</t>
  </si>
  <si>
    <t>Full Student Number:</t>
  </si>
  <si>
    <t>Student Name:</t>
  </si>
  <si>
    <t>rsvd</t>
  </si>
  <si>
    <t>Duration</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</si>
  <si>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</si>
  <si>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</si>
  <si>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</si>
  <si>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</si>
  <si>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</si>
  <si>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</si>
  <si>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</si>
  <si>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</si>
  <si>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</si>
  <si>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</si>
  <si>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Amytis Saghafi</t>
  </si>
  <si>
    <t>G12</t>
  </si>
  <si>
    <t>30/09/2025</t>
  </si>
  <si>
    <t>1/9/2025</t>
  </si>
  <si>
    <t>6/10/2025</t>
  </si>
  <si>
    <t xml:space="preserve">5:30 PM
</t>
  </si>
  <si>
    <t>read and understood project requirements</t>
  </si>
  <si>
    <t>created and filled in all sections in DP1.0</t>
  </si>
  <si>
    <t xml:space="preserve">Created an outline for the project summary document </t>
  </si>
  <si>
    <t>7/10/2025</t>
  </si>
  <si>
    <t>9/10/2025</t>
  </si>
  <si>
    <t>10/10/2025</t>
  </si>
  <si>
    <t>11/10/2025</t>
  </si>
  <si>
    <t>Wrote VHDL Architecture for the baseline adder circuit</t>
  </si>
  <si>
    <t>Compiled the Quartus summary reports into easy-to-read to read textfiles</t>
  </si>
  <si>
    <t>Wrote python script to generate random test vectors and added some test vectors manually</t>
  </si>
  <si>
    <t>Helped write and complete VHDL architecture for conditional sum adder</t>
  </si>
  <si>
    <t>Helped debug testbenches (almost doing what we want it to do)</t>
  </si>
  <si>
    <t>Debugged testbench for ripple adder topology and generated run_ripple.do and Sim-Transcript-Ripple.txt from .do file simulation</t>
  </si>
  <si>
    <t>Debugged testbench for conditional sum adder topology and generated run_ripple.do and Sim-Transcript-Ripple.txt from .do file simulation</t>
  </si>
  <si>
    <t xml:space="preserve">wrote the introduction, added the appendix, and wrote the directory structure, including what each folder/file includes in the report </t>
  </si>
  <si>
    <t>12/10/2025</t>
  </si>
  <si>
    <t>improved circuit diagrams, added flow chart to experimental procedure</t>
  </si>
  <si>
    <t xml:space="preserve">improved Adder00.tvs and wrote the testbench section of report, added a flowchart </t>
  </si>
  <si>
    <t xml:space="preserve">Structured report document and submission folder </t>
  </si>
  <si>
    <t>17/10/2025</t>
  </si>
  <si>
    <t>16/10/2025</t>
  </si>
  <si>
    <t>15/10/2025</t>
  </si>
  <si>
    <t>14/10/2025</t>
  </si>
  <si>
    <t>made cost predictions for baseline</t>
  </si>
  <si>
    <t>made cost predictions for candidate 2</t>
  </si>
  <si>
    <t xml:space="preserve">researched and understood how to properly make cost predictions and tried 2, 4 and 8 bit adders to see how the code is mapped to logic elements </t>
  </si>
  <si>
    <t xml:space="preserve">made proper cost predictions for all design candidates </t>
  </si>
  <si>
    <t>19/10/2025</t>
  </si>
  <si>
    <t>finished the summary document (added cost analysis summary), and final look at everything, and organized the directory</t>
  </si>
  <si>
    <t>25/10/2025</t>
  </si>
  <si>
    <t>redid calculations based on post fitting results for the 2 and 4 bit cases, rewrote design candidate section, and adjusted the flowchart in procedure</t>
  </si>
  <si>
    <t>26/10/2025</t>
  </si>
  <si>
    <t>added annotations to images, final read through and touches</t>
  </si>
  <si>
    <t>30/10/2025</t>
  </si>
  <si>
    <t>Created an outline for the project report and the summary report</t>
  </si>
  <si>
    <t>helped write and debug and test a 4 bit look ahead carry network component</t>
  </si>
  <si>
    <t>finished brent kung adder</t>
  </si>
  <si>
    <t>worked on lws5 to learn about timing simulations</t>
  </si>
  <si>
    <t>implemented a carry look ahead tree architecture for the adder</t>
  </si>
  <si>
    <t>got all candidates quartus summaries and .vho and .sdo files</t>
  </si>
  <si>
    <t>helped writing testbench and timing simulation, wrote all .do scripts</t>
  </si>
  <si>
    <t xml:space="preserve">improved .do files and transcripts and compiled a kept the quartus synthesis for the last candidate </t>
  </si>
  <si>
    <t xml:space="preserve">did LACTA and BKA cost and timing calculations, found delays for cyclone LES, drew brent-kung adder on the report, updated directory in the appendix, made experimental procedures and testbench procedure flowcharts </t>
  </si>
  <si>
    <t>did cost and timing estimations for CBA, created images for the CBA and LACTA, wrote blurbs for intro and experimental procedure, added annotated waveform to testbench section, completed timing analysis section, found delays for an ALM, updated the references, wrote result analysis section of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</si>
</sst>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8">
    <xf numFmtId="0" fontId="0" fillId="0" borderId="0" xfId="0"/>
    <xf numFmtId="0" fontId="1" fillId="0" borderId="0" xfId="0" applyFont="1" applyAlignment="1">
      <alignment horizontal="center" vertical="center"/>
    </xf>
    <xf numFmtId="164" fontId="0" fillId="0" borderId="0" xfId="0" applyNumberForma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18" fontId="0" fillId="0" borderId="0" xfId="0" applyNumberFormat="1"/>
    <xf numFmtId="18" fontId="1" fillId="3" borderId="2" xfId="0" applyNumberFormat="1" applyFont="1" applyFill="1" applyBorder="1" applyAlignment="1">
      <alignment horizontal="center" vertical="center"/>
    </xf>
    <xf numFmtId="2" fontId="3" fillId="0" borderId="0" xfId="0" applyNumberFormat="1" applyFont="1" applyAlignment="1">
      <alignment vertical="center"/>
    </xf>
    <xf numFmtId="18" fontId="1" fillId="3" borderId="4" xfId="0" applyNumberFormat="1" applyFont="1" applyFill="1" applyBorder="1" applyAlignment="1">
      <alignment horizontal="center" vertical="center"/>
    </xf>
    <xf numFmtId="2" fontId="3" fillId="0" borderId="6" xfId="0" applyNumberFormat="1" applyFont="1" applyBorder="1" applyAlignment="1" applyProtection="1">
      <alignment vertical="center"/>
      <protection hidden="1"/>
    </xf>
    <xf numFmtId="165" fontId="3" fillId="4" borderId="7" xfId="0" applyNumberFormat="1" applyFont="1" applyFill="1" applyBorder="1" applyAlignment="1" applyProtection="1">
      <alignment horizontal="center" vertical="center"/>
      <protection locked="0"/>
    </xf>
    <xf numFmtId="165" fontId="3" fillId="4" borderId="11" xfId="0" applyNumberFormat="1" applyFont="1" applyFill="1" applyBorder="1" applyAlignment="1" applyProtection="1">
      <alignment horizontal="center" vertical="center"/>
      <protection locked="0"/>
    </xf>
    <xf numFmtId="165" fontId="3"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3" fillId="0" borderId="10" xfId="0" applyNumberFormat="1" applyFont="1" applyBorder="1" applyProtection="1">
      <protection hidden="1"/>
    </xf>
    <xf numFmtId="2" fontId="3" fillId="0" borderId="13" xfId="0" applyNumberFormat="1" applyFont="1" applyBorder="1" applyProtection="1">
      <protection hidden="1"/>
    </xf>
    <xf numFmtId="2" fontId="3" fillId="5" borderId="0" xfId="0" applyNumberFormat="1" applyFont="1" applyFill="1" applyProtection="1">
      <protection hidden="1"/>
    </xf>
    <xf numFmtId="2" fontId="3"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3" fillId="0" borderId="6" xfId="0" applyNumberFormat="1" applyFont="1" applyBorder="1" applyAlignment="1">
      <alignment vertical="center"/>
    </xf>
    <xf numFmtId="2" fontId="3" fillId="0" borderId="10" xfId="0" applyNumberFormat="1" applyFont="1" applyBorder="1"/>
    <xf numFmtId="2" fontId="3" fillId="0" borderId="13" xfId="0" applyNumberFormat="1" applyFont="1" applyBorder="1"/>
    <xf numFmtId="0" fontId="11" fillId="2" borderId="0" xfId="0" applyFont="1" applyFill="1" applyAlignment="1">
      <alignment horizontal="left" vertical="center"/>
    </xf>
    <xf numFmtId="0" fontId="12" fillId="2" borderId="20" xfId="0" applyFont="1" applyFill="1" applyBorder="1" applyAlignment="1">
      <alignment horizontal="left" vertical="center" wrapText="1"/>
    </xf>
    <xf numFmtId="18" fontId="0" fillId="4" borderId="8" xfId="0" applyNumberFormat="1" applyFill="1" applyBorder="1" applyAlignment="1" applyProtection="1">
      <alignment vertical="center" wrapText="1"/>
      <protection locked="0"/>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9" fontId="7" fillId="4" borderId="16" xfId="0" applyNumberFormat="1" applyFont="1" applyFill="1" applyBorder="1" applyAlignment="1" applyProtection="1">
      <alignment horizontal="center" vertical="center"/>
      <protection locked="0"/>
    </xf>
    <xf numFmtId="0" fontId="7" fillId="4" borderId="10" xfId="0" applyFont="1" applyFill="1" applyBorder="1" applyAlignment="1" applyProtection="1">
      <alignment horizontal="center" vertical="center"/>
      <protection locked="0"/>
    </xf>
    <xf numFmtId="0" fontId="7" fillId="4" borderId="17" xfId="0" applyFont="1" applyFill="1" applyBorder="1" applyAlignment="1" applyProtection="1">
      <alignment horizontal="center" vertical="center"/>
      <protection locked="0"/>
    </xf>
    <xf numFmtId="18" fontId="4" fillId="5" borderId="21" xfId="0" applyNumberFormat="1" applyFont="1" applyFill="1" applyBorder="1" applyAlignment="1">
      <alignment horizontal="center" vertical="center"/>
    </xf>
    <xf numFmtId="18" fontId="4" fillId="5" borderId="4" xfId="0" applyNumberFormat="1" applyFont="1" applyFill="1" applyBorder="1" applyAlignment="1">
      <alignment horizontal="center" vertical="center"/>
    </xf>
    <xf numFmtId="18" fontId="4" fillId="5" borderId="22" xfId="0" applyNumberFormat="1" applyFont="1" applyFill="1" applyBorder="1" applyAlignment="1">
      <alignment horizontal="center" vertical="center"/>
    </xf>
    <xf numFmtId="18" fontId="4" fillId="5" borderId="0" xfId="0" applyNumberFormat="1" applyFont="1" applyFill="1" applyAlignment="1">
      <alignment horizontal="center" vertical="center"/>
    </xf>
    <xf numFmtId="18" fontId="4" fillId="5" borderId="23" xfId="0" applyNumberFormat="1" applyFont="1" applyFill="1" applyBorder="1" applyAlignment="1">
      <alignment horizontal="center" vertical="center"/>
    </xf>
    <xf numFmtId="18" fontId="4" fillId="5" borderId="24" xfId="0" applyNumberFormat="1" applyFont="1" applyFill="1" applyBorder="1" applyAlignment="1">
      <alignment horizontal="center" vertical="center"/>
    </xf>
    <xf numFmtId="0" fontId="6" fillId="4" borderId="18" xfId="0" applyFont="1" applyFill="1" applyBorder="1" applyAlignment="1" applyProtection="1">
      <alignment horizontal="center" vertical="center"/>
      <protection locked="0"/>
    </xf>
    <xf numFmtId="0" fontId="6" fillId="4" borderId="6" xfId="0" applyFont="1" applyFill="1" applyBorder="1" applyAlignment="1" applyProtection="1">
      <alignment horizontal="center" vertical="center"/>
      <protection locked="0"/>
    </xf>
    <xf numFmtId="0" fontId="6" fillId="4" borderId="19"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7" fillId="4" borderId="16"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D7" sqref="D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12</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21</v>
      </c>
      <c r="D7" s="38" t="s">
        <v>24</v>
      </c>
      <c r="E7" s="20">
        <v>0.76041666666666663</v>
      </c>
      <c r="F7" s="33"/>
      <c r="G7" s="15" t="s">
        <v>25</v>
      </c>
      <c r="H7" s="11" t="e">
        <f t="shared" ref="H7" si="0">(E7-D7)*24</f>
        <v>#VALUE!</v>
      </c>
      <c r="I7" s="9"/>
    </row>
    <row r="8" spans="1:9" ht="24.9" customHeight="1" x14ac:dyDescent="0.45">
      <c r="A8" s="31"/>
      <c r="B8" s="13">
        <v>5814</v>
      </c>
      <c r="C8" s="21" t="s">
        <v>22</v>
      </c>
      <c r="D8" s="19">
        <v>0.55208333333333337</v>
      </c>
      <c r="E8" s="22">
        <v>0.59375</v>
      </c>
      <c r="F8" s="34"/>
      <c r="G8" s="16" t="s">
        <v>26</v>
      </c>
      <c r="H8" s="26">
        <f>(E8-D8)*24</f>
        <v>0.99999999999999911</v>
      </c>
    </row>
    <row r="9" spans="1:9" ht="24.9" customHeight="1" x14ac:dyDescent="0.45">
      <c r="A9" s="31"/>
      <c r="B9" s="13">
        <v>5814</v>
      </c>
      <c r="C9" s="21" t="s">
        <v>23</v>
      </c>
      <c r="D9" s="19">
        <v>0.58333333333333337</v>
      </c>
      <c r="E9" s="22">
        <v>0.60416666666666663</v>
      </c>
      <c r="F9" s="34"/>
      <c r="G9" s="16" t="s">
        <v>27</v>
      </c>
      <c r="H9" s="26">
        <f t="shared" ref="H9:H72" si="1">(E9-D9)*24</f>
        <v>0.49999999999999822</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t="e">
        <f>SUM(H7:H79)</f>
        <v>#VALUE!</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B7" sqref="B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13</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0.45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28</v>
      </c>
      <c r="D7" s="19">
        <v>0.64583333333333337</v>
      </c>
      <c r="E7" s="20">
        <v>0.6875</v>
      </c>
      <c r="F7" s="33"/>
      <c r="G7" s="15" t="s">
        <v>32</v>
      </c>
      <c r="H7" s="11">
        <f t="shared" ref="H7" si="0">(E7-D7)*24</f>
        <v>0.99999999999999911</v>
      </c>
      <c r="I7" s="9"/>
    </row>
    <row r="8" spans="1:9" ht="24.9" customHeight="1" x14ac:dyDescent="0.45">
      <c r="A8" s="31"/>
      <c r="B8" s="13">
        <v>5814</v>
      </c>
      <c r="C8" s="21" t="s">
        <v>29</v>
      </c>
      <c r="D8" s="19">
        <v>0.6875</v>
      </c>
      <c r="E8" s="22">
        <v>0.77083333333333337</v>
      </c>
      <c r="F8" s="34"/>
      <c r="G8" s="16" t="s">
        <v>35</v>
      </c>
      <c r="H8" s="26">
        <f>(E8-D8)*24</f>
        <v>2.0000000000000009</v>
      </c>
    </row>
    <row r="9" spans="1:9" ht="24.9" customHeight="1" x14ac:dyDescent="0.45">
      <c r="A9" s="31"/>
      <c r="B9" s="13">
        <v>5814</v>
      </c>
      <c r="C9" s="21" t="s">
        <v>30</v>
      </c>
      <c r="D9" s="19">
        <v>0.72916666666666663</v>
      </c>
      <c r="E9" s="22">
        <v>0.75</v>
      </c>
      <c r="F9" s="34"/>
      <c r="G9" s="16" t="s">
        <v>33</v>
      </c>
      <c r="H9" s="26">
        <f t="shared" ref="H9:H72" si="1">(E9-D9)*24</f>
        <v>0.50000000000000089</v>
      </c>
    </row>
    <row r="10" spans="1:9" ht="24.9" customHeight="1" x14ac:dyDescent="0.45">
      <c r="A10" s="31"/>
      <c r="B10" s="13">
        <v>5814</v>
      </c>
      <c r="C10" s="21" t="s">
        <v>30</v>
      </c>
      <c r="D10" s="19">
        <v>0.73958333333333337</v>
      </c>
      <c r="E10" s="22">
        <v>0.78125</v>
      </c>
      <c r="F10" s="34"/>
      <c r="G10" s="16" t="s">
        <v>34</v>
      </c>
      <c r="H10" s="26">
        <f t="shared" si="1"/>
        <v>0.99999999999999911</v>
      </c>
    </row>
    <row r="11" spans="1:9" ht="24.9" customHeight="1" x14ac:dyDescent="0.45">
      <c r="A11" s="31"/>
      <c r="B11" s="13">
        <v>5814</v>
      </c>
      <c r="C11" s="21" t="s">
        <v>30</v>
      </c>
      <c r="D11" s="19">
        <v>0.78125</v>
      </c>
      <c r="E11" s="22">
        <v>0.88541666666666663</v>
      </c>
      <c r="F11" s="34"/>
      <c r="G11" s="16" t="s">
        <v>36</v>
      </c>
      <c r="H11" s="26">
        <f t="shared" si="1"/>
        <v>2.4999999999999991</v>
      </c>
    </row>
    <row r="12" spans="1:9" ht="24.9" customHeight="1" x14ac:dyDescent="0.45">
      <c r="A12" s="31"/>
      <c r="B12" s="13">
        <v>5814</v>
      </c>
      <c r="C12" s="21" t="s">
        <v>31</v>
      </c>
      <c r="D12" s="19">
        <v>0.58333333333333337</v>
      </c>
      <c r="E12" s="22">
        <v>0.66666666666666663</v>
      </c>
      <c r="F12" s="34"/>
      <c r="G12" s="16" t="s">
        <v>37</v>
      </c>
      <c r="H12" s="26">
        <f t="shared" si="1"/>
        <v>1.9999999999999982</v>
      </c>
    </row>
    <row r="13" spans="1:9" ht="24.9" customHeight="1" x14ac:dyDescent="0.45">
      <c r="A13" s="31"/>
      <c r="B13" s="13">
        <v>5814</v>
      </c>
      <c r="C13" s="21" t="s">
        <v>31</v>
      </c>
      <c r="D13" s="19">
        <v>0.71875</v>
      </c>
      <c r="E13" s="22">
        <v>0.77083333333333337</v>
      </c>
      <c r="F13" s="34"/>
      <c r="G13" s="16" t="s">
        <v>38</v>
      </c>
      <c r="H13" s="26">
        <f t="shared" si="1"/>
        <v>1.2500000000000009</v>
      </c>
    </row>
    <row r="14" spans="1:9" ht="24.9" customHeight="1" x14ac:dyDescent="0.45">
      <c r="A14" s="31"/>
      <c r="B14" s="13">
        <v>5814</v>
      </c>
      <c r="C14" s="21" t="s">
        <v>31</v>
      </c>
      <c r="D14" s="19">
        <v>0.77083333333333337</v>
      </c>
      <c r="E14" s="22">
        <v>0.80208333333333337</v>
      </c>
      <c r="F14" s="34"/>
      <c r="G14" s="16" t="s">
        <v>39</v>
      </c>
      <c r="H14" s="26">
        <f t="shared" si="1"/>
        <v>0.75</v>
      </c>
    </row>
    <row r="15" spans="1:9" ht="24.9" customHeight="1" x14ac:dyDescent="0.45">
      <c r="A15" s="31"/>
      <c r="B15" s="13">
        <v>5814</v>
      </c>
      <c r="C15" s="21" t="s">
        <v>40</v>
      </c>
      <c r="D15" s="19">
        <v>0.65625</v>
      </c>
      <c r="E15" s="22">
        <v>0.69791666666666663</v>
      </c>
      <c r="F15" s="34"/>
      <c r="G15" s="16" t="s">
        <v>41</v>
      </c>
      <c r="H15" s="26">
        <f t="shared" si="1"/>
        <v>0.99999999999999911</v>
      </c>
    </row>
    <row r="16" spans="1:9" ht="24.9" customHeight="1" x14ac:dyDescent="0.45">
      <c r="A16" s="31"/>
      <c r="B16" s="13">
        <v>5814</v>
      </c>
      <c r="C16" s="21" t="s">
        <v>40</v>
      </c>
      <c r="D16" s="19">
        <v>0.70833333333333337</v>
      </c>
      <c r="E16" s="22">
        <v>0.79166666666666663</v>
      </c>
      <c r="F16" s="34"/>
      <c r="G16" s="16" t="s">
        <v>42</v>
      </c>
      <c r="H16" s="26">
        <f t="shared" si="1"/>
        <v>1.9999999999999982</v>
      </c>
    </row>
    <row r="17" spans="1:8" ht="24.9" customHeight="1" x14ac:dyDescent="0.45">
      <c r="A17" s="31"/>
      <c r="B17" s="13">
        <v>5814</v>
      </c>
      <c r="C17" s="21" t="s">
        <v>40</v>
      </c>
      <c r="D17" s="19">
        <v>0.79166666666666663</v>
      </c>
      <c r="E17" s="22">
        <v>0.8125</v>
      </c>
      <c r="F17" s="34"/>
      <c r="G17" s="16" t="s">
        <v>43</v>
      </c>
      <c r="H17" s="26">
        <f t="shared" si="1"/>
        <v>0.50000000000000089</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14.499999999999996</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phoneticPr fontId="14" type="noConversion"/>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B2" sqref="B2:D4"/>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14</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0.5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47</v>
      </c>
      <c r="D7" s="19">
        <v>0.76041666666666663</v>
      </c>
      <c r="E7" s="20">
        <v>0.80208333333333337</v>
      </c>
      <c r="F7" s="33"/>
      <c r="G7" s="15" t="s">
        <v>48</v>
      </c>
      <c r="H7" s="11">
        <f t="shared" ref="H7" si="0">(E7-D7)*24</f>
        <v>1.0000000000000018</v>
      </c>
      <c r="I7" s="9"/>
    </row>
    <row r="8" spans="1:9" ht="24.9" customHeight="1" x14ac:dyDescent="0.45">
      <c r="A8" s="31"/>
      <c r="B8" s="13">
        <v>5814</v>
      </c>
      <c r="C8" s="21" t="s">
        <v>46</v>
      </c>
      <c r="D8" s="19">
        <v>0.48958333333333331</v>
      </c>
      <c r="E8" s="22">
        <v>0.52083333333333337</v>
      </c>
      <c r="F8" s="34"/>
      <c r="G8" s="16" t="s">
        <v>49</v>
      </c>
      <c r="H8" s="26">
        <f>(E8-D8)*24</f>
        <v>0.75000000000000133</v>
      </c>
    </row>
    <row r="9" spans="1:9" ht="24.9" customHeight="1" x14ac:dyDescent="0.45">
      <c r="A9" s="31"/>
      <c r="B9" s="13">
        <v>5814</v>
      </c>
      <c r="C9" s="21" t="s">
        <v>45</v>
      </c>
      <c r="D9" s="19">
        <v>0.6875</v>
      </c>
      <c r="E9" s="22">
        <v>0.79166666666666663</v>
      </c>
      <c r="F9" s="34"/>
      <c r="G9" s="16" t="s">
        <v>50</v>
      </c>
      <c r="H9" s="26">
        <f t="shared" ref="H9:H72" si="1">(E9-D9)*24</f>
        <v>2.4999999999999991</v>
      </c>
    </row>
    <row r="10" spans="1:9" ht="24.9" customHeight="1" x14ac:dyDescent="0.45">
      <c r="A10" s="31"/>
      <c r="B10" s="13">
        <v>5814</v>
      </c>
      <c r="C10" s="21" t="s">
        <v>44</v>
      </c>
      <c r="D10" s="19">
        <v>0.54166666666666663</v>
      </c>
      <c r="E10" s="22">
        <v>0.625</v>
      </c>
      <c r="F10" s="34"/>
      <c r="G10" s="16" t="s">
        <v>51</v>
      </c>
      <c r="H10" s="26">
        <f t="shared" si="1"/>
        <v>2.0000000000000009</v>
      </c>
    </row>
    <row r="11" spans="1:9" ht="24.9" customHeight="1" x14ac:dyDescent="0.45">
      <c r="A11" s="31"/>
      <c r="B11" s="13">
        <v>5814</v>
      </c>
      <c r="C11" s="21" t="s">
        <v>52</v>
      </c>
      <c r="D11" s="19">
        <v>0.64583333333333337</v>
      </c>
      <c r="E11" s="22">
        <v>0.6875</v>
      </c>
      <c r="F11" s="34"/>
      <c r="G11" s="16" t="s">
        <v>53</v>
      </c>
      <c r="H11" s="26">
        <f t="shared" si="1"/>
        <v>0.99999999999999911</v>
      </c>
    </row>
    <row r="12" spans="1:9" ht="24.9" customHeight="1" x14ac:dyDescent="0.45">
      <c r="A12" s="31"/>
      <c r="B12" s="13">
        <v>5814</v>
      </c>
      <c r="C12" s="21" t="s">
        <v>54</v>
      </c>
      <c r="D12" s="19">
        <v>0.63541666666666663</v>
      </c>
      <c r="E12" s="22">
        <v>0.78125</v>
      </c>
      <c r="F12" s="34"/>
      <c r="G12" s="16" t="s">
        <v>55</v>
      </c>
      <c r="H12" s="26">
        <f t="shared" si="1"/>
        <v>3.5000000000000009</v>
      </c>
    </row>
    <row r="13" spans="1:9" ht="24.9" customHeight="1" x14ac:dyDescent="0.45">
      <c r="A13" s="31"/>
      <c r="B13" s="13">
        <v>5814</v>
      </c>
      <c r="C13" s="21" t="s">
        <v>56</v>
      </c>
      <c r="D13" s="19">
        <v>0.59375</v>
      </c>
      <c r="E13" s="22">
        <v>0.6875</v>
      </c>
      <c r="F13" s="34"/>
      <c r="G13" s="16" t="s">
        <v>57</v>
      </c>
      <c r="H13" s="26">
        <f t="shared" si="1"/>
        <v>2.25</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13.000000000000004</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zoomScale="85" zoomScaleNormal="85" workbookViewId="0">
      <selection activeCell="C7" sqref="C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15</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58</v>
      </c>
      <c r="D7" s="19">
        <v>0.625</v>
      </c>
      <c r="E7" s="20">
        <v>0.70138888888888884</v>
      </c>
      <c r="F7" s="33"/>
      <c r="G7" s="15" t="s">
        <v>59</v>
      </c>
      <c r="H7" s="11">
        <f t="shared" ref="H7" si="0">(E7-D7)*24</f>
        <v>1.8333333333333321</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1.8333333333333321</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tabSelected="1" topLeftCell="E5" zoomScale="85" zoomScaleNormal="85" workbookViewId="0">
      <selection activeCell="B7" sqref="B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16</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0.5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v>45960</v>
      </c>
      <c r="D7" s="19">
        <v>0.70833333333333337</v>
      </c>
      <c r="E7" s="20">
        <v>0.8125</v>
      </c>
      <c r="F7" s="33"/>
      <c r="G7" s="15" t="s">
        <v>60</v>
      </c>
      <c r="H7" s="11">
        <f t="shared" ref="H7" si="0">(E7-D7)*24</f>
        <v>2.4999999999999991</v>
      </c>
      <c r="I7" s="9"/>
    </row>
    <row r="8" spans="1:9" ht="24.9" customHeight="1" x14ac:dyDescent="0.45">
      <c r="A8" s="31"/>
      <c r="B8" s="13">
        <v>5814</v>
      </c>
      <c r="C8" s="21">
        <v>45961</v>
      </c>
      <c r="D8" s="19">
        <v>0.66666666666666663</v>
      </c>
      <c r="E8" s="22">
        <v>0.79166666666666663</v>
      </c>
      <c r="F8" s="34"/>
      <c r="G8" s="16" t="s">
        <v>63</v>
      </c>
      <c r="H8" s="26">
        <f>(E8-D8)*24</f>
        <v>3</v>
      </c>
    </row>
    <row r="9" spans="1:9" ht="24.9" customHeight="1" x14ac:dyDescent="0.45">
      <c r="A9" s="31"/>
      <c r="B9" s="13">
        <v>5814</v>
      </c>
      <c r="C9" s="21">
        <v>45965</v>
      </c>
      <c r="D9" s="19">
        <v>0.66666666666666663</v>
      </c>
      <c r="E9" s="22">
        <v>0.8125</v>
      </c>
      <c r="F9" s="34"/>
      <c r="G9" s="16" t="s">
        <v>61</v>
      </c>
      <c r="H9" s="26">
        <f>(E9-D9)*24</f>
        <v>3.5000000000000009</v>
      </c>
    </row>
    <row r="10" spans="1:9" ht="24.9" customHeight="1" x14ac:dyDescent="0.45">
      <c r="A10" s="31"/>
      <c r="B10" s="13">
        <v>5814</v>
      </c>
      <c r="C10" s="21">
        <v>45972</v>
      </c>
      <c r="D10" s="19">
        <v>0.66666666666666663</v>
      </c>
      <c r="E10" s="22">
        <v>0.75</v>
      </c>
      <c r="F10" s="34"/>
      <c r="G10" s="16" t="s">
        <v>62</v>
      </c>
      <c r="H10" s="26">
        <f>(E10-D10)*24</f>
        <v>2.0000000000000009</v>
      </c>
    </row>
    <row r="11" spans="1:9" ht="24.9" customHeight="1" x14ac:dyDescent="0.45">
      <c r="A11" s="31"/>
      <c r="B11" s="13">
        <v>5814</v>
      </c>
      <c r="C11" s="21">
        <v>45973</v>
      </c>
      <c r="D11" s="19">
        <v>0.625</v>
      </c>
      <c r="E11" s="22">
        <v>0.6875</v>
      </c>
      <c r="F11" s="34"/>
      <c r="G11" s="16" t="s">
        <v>62</v>
      </c>
      <c r="H11" s="26">
        <f>(E11-D11)*24</f>
        <v>1.5</v>
      </c>
    </row>
    <row r="12" spans="1:9" ht="24.9" customHeight="1" x14ac:dyDescent="0.45">
      <c r="A12" s="31"/>
      <c r="B12" s="13">
        <v>5814</v>
      </c>
      <c r="C12" s="21">
        <v>45973</v>
      </c>
      <c r="D12" s="19">
        <v>0.6875</v>
      </c>
      <c r="E12" s="22">
        <v>0.72916666666666663</v>
      </c>
      <c r="F12" s="34"/>
      <c r="G12" s="16" t="s">
        <v>64</v>
      </c>
      <c r="H12" s="26">
        <f t="shared" ref="H12:H72" si="1">(E12-D12)*24</f>
        <v>0.99999999999999911</v>
      </c>
    </row>
    <row r="13" spans="1:9" ht="24.9" customHeight="1" x14ac:dyDescent="0.45">
      <c r="A13" s="31"/>
      <c r="B13" s="13">
        <v>5814</v>
      </c>
      <c r="C13" s="21">
        <v>45973</v>
      </c>
      <c r="D13" s="19">
        <v>0.72916666666666663</v>
      </c>
      <c r="E13" s="22">
        <v>0.8125</v>
      </c>
      <c r="F13" s="34"/>
      <c r="G13" s="16" t="s">
        <v>65</v>
      </c>
      <c r="H13" s="26">
        <f t="shared" si="1"/>
        <v>2.0000000000000009</v>
      </c>
    </row>
    <row r="14" spans="1:9" ht="24.9" customHeight="1" x14ac:dyDescent="0.45">
      <c r="A14" s="31"/>
      <c r="B14" s="13">
        <v>5814</v>
      </c>
      <c r="C14" s="21">
        <v>45974</v>
      </c>
      <c r="D14" s="19">
        <v>0.625</v>
      </c>
      <c r="E14" s="22">
        <v>0.79166666666666663</v>
      </c>
      <c r="F14" s="34"/>
      <c r="G14" s="16" t="s">
        <v>66</v>
      </c>
      <c r="H14" s="26">
        <f t="shared" si="1"/>
        <v>3.9999999999999991</v>
      </c>
    </row>
    <row r="15" spans="1:9" ht="24.9" customHeight="1" x14ac:dyDescent="0.45">
      <c r="A15" s="31"/>
      <c r="B15" s="13">
        <v>5814</v>
      </c>
      <c r="C15" s="21">
        <v>45976</v>
      </c>
      <c r="D15" s="19">
        <v>0.64583333333333337</v>
      </c>
      <c r="E15" s="22">
        <v>0.85416666666666663</v>
      </c>
      <c r="F15" s="34"/>
      <c r="G15" s="16" t="s">
        <v>67</v>
      </c>
      <c r="H15" s="26">
        <f t="shared" si="1"/>
        <v>4.9999999999999982</v>
      </c>
    </row>
    <row r="16" spans="1:9" ht="24.9" customHeight="1" x14ac:dyDescent="0.45">
      <c r="A16" s="31"/>
      <c r="B16" s="13">
        <v>5814</v>
      </c>
      <c r="C16" s="21">
        <v>45976</v>
      </c>
      <c r="D16" s="19">
        <v>0.58333333333333337</v>
      </c>
      <c r="E16" s="22">
        <v>0.85416666666666663</v>
      </c>
      <c r="F16" s="34"/>
      <c r="G16" s="16" t="s">
        <v>68</v>
      </c>
      <c r="H16" s="26">
        <f t="shared" si="1"/>
        <v>6.4999999999999982</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31</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zoomScale="85" zoomScaleNormal="85" workbookViewId="0">
      <selection activeCell="B2" sqref="B2:D4"/>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17</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57" t="s">
        <v>11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c r="C7" s="18"/>
      <c r="D7" s="19"/>
      <c r="E7" s="20"/>
      <c r="F7" s="33"/>
      <c r="G7" s="15"/>
      <c r="H7" s="11">
        <f t="shared" ref="H7" si="0">(E7-D7)*24</f>
        <v>0</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0</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Amytis Saghafi</cp:lastModifiedBy>
  <dcterms:created xsi:type="dcterms:W3CDTF">2020-03-26T16:58:46Z</dcterms:created>
  <dcterms:modified xsi:type="dcterms:W3CDTF">2025-11-17T04:19:30Z</dcterms:modified>
</cp:coreProperties>
</file>